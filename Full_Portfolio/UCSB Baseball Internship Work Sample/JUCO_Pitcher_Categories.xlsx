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<sst xmlns="http://schemas.openxmlformats.org/spreadsheetml/2006/main" count="623" uniqueCount="126">
  <si>
    <t>Key</t>
  </si>
  <si>
    <t>Good</t>
  </si>
  <si>
    <t>Bad</t>
  </si>
  <si>
    <t>Good but needs context</t>
  </si>
  <si>
    <t>Bad but needs context</t>
  </si>
  <si>
    <r>
      <rPr>
        <rFont val="Arial"/>
        <b/>
        <color theme="1"/>
        <sz val="14.0"/>
      </rPr>
      <t xml:space="preserve">Best Overall </t>
    </r>
    <r>
      <rPr>
        <rFont val="Arial"/>
        <b val="0"/>
        <i/>
        <color theme="1"/>
        <sz val="14.0"/>
      </rPr>
      <t>(Hollisitc, based on my opinion)</t>
    </r>
  </si>
  <si>
    <t>Name</t>
  </si>
  <si>
    <t>School</t>
  </si>
  <si>
    <t>FIP</t>
  </si>
  <si>
    <t>ERA</t>
  </si>
  <si>
    <t>FIP-ERA</t>
  </si>
  <si>
    <t>RA9</t>
  </si>
  <si>
    <t>WHIP</t>
  </si>
  <si>
    <t>K/9</t>
  </si>
  <si>
    <t>SO/W</t>
  </si>
  <si>
    <t>BB/9</t>
  </si>
  <si>
    <t>HR/9</t>
  </si>
  <si>
    <t>HR/H%</t>
  </si>
  <si>
    <t>IP</t>
  </si>
  <si>
    <t>CG</t>
  </si>
  <si>
    <t>G</t>
  </si>
  <si>
    <t>GS</t>
  </si>
  <si>
    <t>W</t>
  </si>
  <si>
    <t>L</t>
  </si>
  <si>
    <t>SV</t>
  </si>
  <si>
    <t>H</t>
  </si>
  <si>
    <t>R</t>
  </si>
  <si>
    <t>ER</t>
  </si>
  <si>
    <t>BB</t>
  </si>
  <si>
    <t>K</t>
  </si>
  <si>
    <t>HR</t>
  </si>
  <si>
    <t>HBP</t>
  </si>
  <si>
    <t>D/C?</t>
  </si>
  <si>
    <t>E Koehler</t>
  </si>
  <si>
    <t>Polk State</t>
  </si>
  <si>
    <t>~</t>
  </si>
  <si>
    <t>N Straniero</t>
  </si>
  <si>
    <t>Gaston College</t>
  </si>
  <si>
    <t>A Branson</t>
  </si>
  <si>
    <t>Crowder</t>
  </si>
  <si>
    <t>J Glodfelter</t>
  </si>
  <si>
    <t>Pensacola State</t>
  </si>
  <si>
    <t>B Panneton</t>
  </si>
  <si>
    <t>Wharton County</t>
  </si>
  <si>
    <t>T Boudreau</t>
  </si>
  <si>
    <t>Midland</t>
  </si>
  <si>
    <t>O Mabee</t>
  </si>
  <si>
    <t>Trinidad State</t>
  </si>
  <si>
    <t>B Grasser</t>
  </si>
  <si>
    <t>Chattahoochee Valley</t>
  </si>
  <si>
    <t>G Murry</t>
  </si>
  <si>
    <t>Tyler</t>
  </si>
  <si>
    <t>M Dixon</t>
  </si>
  <si>
    <t>Southwest Tennessee</t>
  </si>
  <si>
    <t xml:space="preserve">* Koehler and Straniero are far and away your best options. </t>
  </si>
  <si>
    <t>- Both strike out a lot of hitters, limit baserunners, and don't walk guys</t>
  </si>
  <si>
    <t>- They both have a FIP below 3.00, which is generally considered elite</t>
  </si>
  <si>
    <t>* Mabee and Panneton have good upside, they probably had poor defense behind them</t>
  </si>
  <si>
    <t>- Mabee is also a solid hitter. I think he would be a versatile option to have. Got bit by the home run bug last year</t>
  </si>
  <si>
    <t>- Panneton was MUCH better than his suface level numbers say. Soft contact ground ball pitcher</t>
  </si>
  <si>
    <t>* Glodfelter and Boudrea give up more contact, but are still great options</t>
  </si>
  <si>
    <t>- Because Glodfelter's Walks+Hits per 9 innings is low, that tells me most of the contact is soft</t>
  </si>
  <si>
    <t>- Boudreau is a ground ball pitcher with good command</t>
  </si>
  <si>
    <t>* Dixon and Branson could be elite with the right coaching</t>
  </si>
  <si>
    <t>- Dixon has command issues, but he strikes out 13 guys per 9 innings so his "stuff" is probably really good</t>
  </si>
  <si>
    <t>- Branson's only issue is failing to hit his spots (gave up a lot of homers). Could just be a mental adjustment</t>
  </si>
  <si>
    <t>"Best" Individual Pitching Results (Best Fielding-Independent Pitching)</t>
  </si>
  <si>
    <t>R Kelley</t>
  </si>
  <si>
    <t>Bishop State</t>
  </si>
  <si>
    <t>C Bordes</t>
  </si>
  <si>
    <t>Nunez</t>
  </si>
  <si>
    <t>J Preito</t>
  </si>
  <si>
    <t>Hill</t>
  </si>
  <si>
    <t>S Pace</t>
  </si>
  <si>
    <t>Northwest-Shoals</t>
  </si>
  <si>
    <t>C Sanders</t>
  </si>
  <si>
    <t>R Combs</t>
  </si>
  <si>
    <t>C Oppor</t>
  </si>
  <si>
    <t>Gulf Coast State</t>
  </si>
  <si>
    <t>C Casteel</t>
  </si>
  <si>
    <t>Cleveland State</t>
  </si>
  <si>
    <t>J Skinner</t>
  </si>
  <si>
    <t>Kishwaukee</t>
  </si>
  <si>
    <t>T Johnson</t>
  </si>
  <si>
    <t>Triton</t>
  </si>
  <si>
    <t>G DeGraauw</t>
  </si>
  <si>
    <t>Seminole State (OK)</t>
  </si>
  <si>
    <t>FIP is just a stat that basically predicts ERA, using only things the pitcher can control (walks, home runs, strikeouts, hit-batters).</t>
  </si>
  <si>
    <r>
      <rPr>
        <rFont val="Arial"/>
        <b/>
        <color theme="1"/>
        <sz val="14.0"/>
      </rPr>
      <t xml:space="preserve">Expected to Improve </t>
    </r>
    <r>
      <rPr>
        <rFont val="Arial"/>
        <b val="0"/>
        <i/>
        <color theme="1"/>
        <sz val="14.0"/>
      </rPr>
      <t>(Biggest difference between FIP and ERA)</t>
    </r>
  </si>
  <si>
    <t>I Thornton</t>
  </si>
  <si>
    <t>Rose State</t>
  </si>
  <si>
    <t>B Nelson</t>
  </si>
  <si>
    <t>Arizona Western</t>
  </si>
  <si>
    <t>A Bragg</t>
  </si>
  <si>
    <t>Bevill State</t>
  </si>
  <si>
    <t>A Asbill</t>
  </si>
  <si>
    <t>Tallahassee</t>
  </si>
  <si>
    <t>T Garmon</t>
  </si>
  <si>
    <t>Abraham Baldwin</t>
  </si>
  <si>
    <t>L Elissalt</t>
  </si>
  <si>
    <t>Coastal Alabama - South</t>
  </si>
  <si>
    <t>B Turnbow</t>
  </si>
  <si>
    <t>Wallace-Selma</t>
  </si>
  <si>
    <t>A Butler</t>
  </si>
  <si>
    <t>Best ERA Results</t>
  </si>
  <si>
    <t>R Leiker</t>
  </si>
  <si>
    <t>Coffeyville</t>
  </si>
  <si>
    <t>M Chabi</t>
  </si>
  <si>
    <t>McCook</t>
  </si>
  <si>
    <t>D Satterlee</t>
  </si>
  <si>
    <t>Cowley</t>
  </si>
  <si>
    <t>A Harford</t>
  </si>
  <si>
    <t>Daytona State</t>
  </si>
  <si>
    <t>E Tapia</t>
  </si>
  <si>
    <t>Fort Scott</t>
  </si>
  <si>
    <t>B Haywood</t>
  </si>
  <si>
    <t>Labette</t>
  </si>
  <si>
    <t>G Nail</t>
  </si>
  <si>
    <t>Angelina</t>
  </si>
  <si>
    <t>H MacLeod</t>
  </si>
  <si>
    <t>Rend Lake</t>
  </si>
  <si>
    <t>Innings Eaters</t>
  </si>
  <si>
    <t>Lowest Walks+Hits allowed per Inning</t>
  </si>
  <si>
    <r>
      <rPr>
        <rFont val="Arial"/>
        <b/>
        <color theme="1"/>
        <sz val="14.0"/>
      </rPr>
      <t xml:space="preserve">"Ground Ball Guys" </t>
    </r>
    <r>
      <rPr>
        <rFont val="Arial"/>
        <b val="0"/>
        <i/>
        <color theme="1"/>
        <sz val="14.0"/>
      </rPr>
      <t>(Less than a strikeout per inning AND a low home run rate)</t>
    </r>
  </si>
  <si>
    <t>Northwest-Shoals Community College</t>
  </si>
  <si>
    <r>
      <rPr>
        <rFont val="Arial"/>
        <b/>
        <color theme="1"/>
        <sz val="14.0"/>
      </rPr>
      <t xml:space="preserve">Strikeout Guys </t>
    </r>
    <r>
      <rPr>
        <rFont val="Arial"/>
        <b val="0"/>
        <i/>
        <color theme="1"/>
        <sz val="14.0"/>
      </rPr>
      <t>(Averaging at least a strikeout per inning)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</si>
</sst>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rgb="FFFFFFFF"/>
      <name val="Arial"/>
    </font>
    <font>
      <b/>
      <sz val="14.0"/>
      <color rgb="FFFFFFFF"/>
      <name val="Arial"/>
    </font>
    <font>
      <sz val="14.0"/>
      <color rgb="FFFFFF00"/>
      <name val="Arial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b/>
      <sz val="14.0"/>
      <color theme="1"/>
      <name val="Arial"/>
      <scheme val="minor"/>
    </font>
    <font>
      <sz val="14.0"/>
      <color theme="1"/>
      <name val="Arial"/>
    </font>
  </fonts>
  <fills count="390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0B5394"/>
        <bgColor rgb="FF0B5394"/>
      </patternFill>
    </fill>
    <fill>
      <patternFill patternType="solid">
        <fgColor rgb="FFFF6D01"/>
        <bgColor rgb="FFFF6D01"/>
      </patternFill>
    </fill>
    <fill>
      <patternFill patternType="solid">
        <fgColor rgb="FF741B47"/>
        <bgColor rgb="FF741B47"/>
      </patternFill>
    </fill>
    <fill>
      <patternFill patternType="solid">
        <fgColor rgb="FF242424"/>
        <bgColor rgb="FF242424"/>
      </patternFill>
    </fill>
    <fill>
      <patternFill patternType="solid">
        <fgColor rgb="FF38761D"/>
        <bgColor rgb="FF38761D"/>
      </patternFill>
    </fill>
    <fill>
      <patternFill patternType="solid">
        <fgColor rgb="FF34A853"/>
        <bgColor rgb="FF34A853"/>
      </patternFill>
    </fill>
    <fill>
      <patternFill patternType="solid">
        <fgColor rgb="FFC44C4C"/>
        <bgColor rgb="FFC44C4C"/>
      </patternFill>
    </fill>
    <fill>
      <patternFill patternType="solid">
        <fgColor rgb="FFC07171"/>
        <bgColor rgb="FFC07171"/>
      </patternFill>
    </fill>
    <fill>
      <patternFill patternType="solid">
        <fgColor rgb="FFB7B7B7"/>
        <bgColor rgb="FFB7B7B7"/>
      </patternFill>
    </fill>
    <fill>
      <patternFill patternType="solid">
        <fgColor rgb="FFC06D6D"/>
        <bgColor rgb="FFC06D6D"/>
      </patternFill>
    </fill>
    <fill>
      <patternFill patternType="solid">
        <fgColor rgb="FFC53F3F"/>
        <bgColor rgb="FFC53F3F"/>
      </patternFill>
    </fill>
    <fill>
      <patternFill patternType="solid">
        <fgColor rgb="FFBC8787"/>
        <bgColor rgb="FFBC8787"/>
      </patternFill>
    </fill>
    <fill>
      <patternFill patternType="solid">
        <fgColor rgb="FFBF6F6F"/>
        <bgColor rgb="FFBF6F6F"/>
      </patternFill>
    </fill>
    <fill>
      <patternFill patternType="solid">
        <fgColor rgb="FFC16767"/>
        <bgColor rgb="FFC16767"/>
      </patternFill>
    </fill>
    <fill>
      <patternFill patternType="solid">
        <fgColor rgb="FFBE8181"/>
        <bgColor rgb="FFBE8181"/>
      </patternFill>
    </fill>
    <fill>
      <patternFill patternType="solid">
        <fgColor rgb="FFBE7D7D"/>
        <bgColor rgb="FFBE7D7D"/>
      </patternFill>
    </fill>
    <fill>
      <patternFill patternType="solid">
        <fgColor rgb="FFD29C73"/>
        <bgColor rgb="FFD29C73"/>
      </patternFill>
    </fill>
    <fill>
      <patternFill patternType="solid">
        <fgColor rgb="FFBF7474"/>
        <bgColor rgb="FFBF7474"/>
      </patternFill>
    </fill>
    <fill>
      <patternFill patternType="solid">
        <fgColor rgb="FFBB9696"/>
        <bgColor rgb="FFBB9696"/>
      </patternFill>
    </fill>
    <fill>
      <patternFill patternType="solid">
        <fgColor rgb="FFBAB4AF"/>
        <bgColor rgb="FFBAB4AF"/>
      </patternFill>
    </fill>
    <fill>
      <patternFill patternType="solid">
        <fgColor rgb="FFBAA4A4"/>
        <bgColor rgb="FFBAA4A4"/>
      </patternFill>
    </fill>
    <fill>
      <patternFill patternType="solid">
        <fgColor rgb="FFCB0C0C"/>
        <bgColor rgb="FFCB0C0C"/>
      </patternFill>
    </fill>
    <fill>
      <patternFill patternType="solid">
        <fgColor rgb="FFBB8E8E"/>
        <bgColor rgb="FFBB8E8E"/>
      </patternFill>
    </fill>
    <fill>
      <patternFill patternType="solid">
        <fgColor rgb="FFBB8D8D"/>
        <bgColor rgb="FFBB8D8D"/>
      </patternFill>
    </fill>
    <fill>
      <patternFill patternType="solid">
        <fgColor rgb="FFBD8888"/>
        <bgColor rgb="FFBD8888"/>
      </patternFill>
    </fill>
    <fill>
      <patternFill patternType="solid">
        <fgColor rgb="FFBAA5A5"/>
        <bgColor rgb="FFBAA5A5"/>
      </patternFill>
    </fill>
    <fill>
      <patternFill patternType="solid">
        <fgColor rgb="FFB5B6B7"/>
        <bgColor rgb="FFB5B6B7"/>
      </patternFill>
    </fill>
    <fill>
      <patternFill patternType="solid">
        <fgColor rgb="FFDA935D"/>
        <bgColor rgb="FFDA935D"/>
      </patternFill>
    </fill>
    <fill>
      <patternFill patternType="solid">
        <fgColor rgb="FFBD8484"/>
        <bgColor rgb="FFBD8484"/>
      </patternFill>
    </fill>
    <fill>
      <patternFill patternType="solid">
        <fgColor rgb="FFBC8C8C"/>
        <bgColor rgb="FFBC8C8C"/>
      </patternFill>
    </fill>
    <fill>
      <patternFill patternType="solid">
        <fgColor rgb="FFADA0A7"/>
        <bgColor rgb="FFADA0A7"/>
      </patternFill>
    </fill>
    <fill>
      <patternFill patternType="solid">
        <fgColor rgb="FFBD8989"/>
        <bgColor rgb="FFBD8989"/>
      </patternFill>
    </fill>
    <fill>
      <patternFill patternType="solid">
        <fgColor rgb="FFC25D5D"/>
        <bgColor rgb="FFC25D5D"/>
      </patternFill>
    </fill>
    <fill>
      <patternFill patternType="solid">
        <fgColor rgb="FFC25454"/>
        <bgColor rgb="FFC25454"/>
      </patternFill>
    </fill>
    <fill>
      <patternFill patternType="solid">
        <fgColor rgb="FFB9A5A5"/>
        <bgColor rgb="FFB9A5A5"/>
      </patternFill>
    </fill>
    <fill>
      <patternFill patternType="solid">
        <fgColor rgb="FFA5ADB4"/>
        <bgColor rgb="FFA5ADB4"/>
      </patternFill>
    </fill>
    <fill>
      <patternFill patternType="solid">
        <fgColor rgb="FFAFB3B6"/>
        <bgColor rgb="FFAFB3B6"/>
      </patternFill>
    </fill>
    <fill>
      <patternFill patternType="solid">
        <fgColor rgb="FF9DA8B2"/>
        <bgColor rgb="FF9DA8B2"/>
      </patternFill>
    </fill>
    <fill>
      <patternFill patternType="solid">
        <fgColor rgb="FFD79665"/>
        <bgColor rgb="FFD79665"/>
      </patternFill>
    </fill>
    <fill>
      <patternFill patternType="solid">
        <fgColor rgb="FFBF7676"/>
        <bgColor rgb="FFBF7676"/>
      </patternFill>
    </fill>
    <fill>
      <patternFill patternType="solid">
        <fgColor rgb="FFC25C5C"/>
        <bgColor rgb="FFC25C5C"/>
      </patternFill>
    </fill>
    <fill>
      <patternFill patternType="solid">
        <fgColor rgb="FFA18291"/>
        <bgColor rgb="FFA18291"/>
      </patternFill>
    </fill>
    <fill>
      <patternFill patternType="solid">
        <fgColor rgb="FFC54242"/>
        <bgColor rgb="FFC54242"/>
      </patternFill>
    </fill>
    <fill>
      <patternFill patternType="solid">
        <fgColor rgb="FFCA1212"/>
        <bgColor rgb="FFCA1212"/>
      </patternFill>
    </fill>
    <fill>
      <patternFill patternType="solid">
        <fgColor rgb="FFA9AFB4"/>
        <bgColor rgb="FFA9AFB4"/>
      </patternFill>
    </fill>
    <fill>
      <patternFill patternType="solid">
        <fgColor rgb="FFBD7C7C"/>
        <bgColor rgb="FFBD7C7C"/>
      </patternFill>
    </fill>
    <fill>
      <patternFill patternType="solid">
        <fgColor rgb="FFC35757"/>
        <bgColor rgb="FFC35757"/>
      </patternFill>
    </fill>
    <fill>
      <patternFill patternType="solid">
        <fgColor rgb="FFB6B7B7"/>
        <bgColor rgb="FFB6B7B7"/>
      </patternFill>
    </fill>
    <fill>
      <patternFill patternType="solid">
        <fgColor rgb="FFC6A891"/>
        <bgColor rgb="FFC6A891"/>
      </patternFill>
    </fill>
    <fill>
      <patternFill patternType="solid">
        <fgColor rgb="FF879BAE"/>
        <bgColor rgb="FF879BAE"/>
      </patternFill>
    </fill>
    <fill>
      <patternFill patternType="solid">
        <fgColor rgb="FFE38947"/>
        <bgColor rgb="FFE38947"/>
      </patternFill>
    </fill>
    <fill>
      <patternFill patternType="solid">
        <fgColor rgb="FF8399AD"/>
        <bgColor rgb="FF8399AD"/>
      </patternFill>
    </fill>
    <fill>
      <patternFill patternType="solid">
        <fgColor rgb="FFA8AFB4"/>
        <bgColor rgb="FFA8AFB4"/>
      </patternFill>
    </fill>
    <fill>
      <patternFill patternType="solid">
        <fgColor rgb="FF869AAD"/>
        <bgColor rgb="FF869AAD"/>
      </patternFill>
    </fill>
    <fill>
      <patternFill patternType="solid">
        <fgColor rgb="FFBC8686"/>
        <bgColor rgb="FFBC8686"/>
      </patternFill>
    </fill>
    <fill>
      <patternFill patternType="solid">
        <fgColor rgb="FFC35151"/>
        <bgColor rgb="FFC35151"/>
      </patternFill>
    </fill>
    <fill>
      <patternFill patternType="solid">
        <fgColor rgb="FFC25A5A"/>
        <bgColor rgb="FFC25A5A"/>
      </patternFill>
    </fill>
    <fill>
      <patternFill patternType="solid">
        <fgColor rgb="FFCF9F7A"/>
        <bgColor rgb="FFCF9F7A"/>
      </patternFill>
    </fill>
    <fill>
      <patternFill patternType="solid">
        <fgColor rgb="FFBD8585"/>
        <bgColor rgb="FFBD8585"/>
      </patternFill>
    </fill>
    <fill>
      <patternFill patternType="solid">
        <fgColor rgb="FFBB9A9A"/>
        <bgColor rgb="FFBB9A9A"/>
      </patternFill>
    </fill>
    <fill>
      <patternFill patternType="solid">
        <fgColor rgb="FFB6B4B5"/>
        <bgColor rgb="FFB6B4B5"/>
      </patternFill>
    </fill>
    <fill>
      <patternFill patternType="solid">
        <fgColor rgb="FFC44B4B"/>
        <bgColor rgb="FFC44B4B"/>
      </patternFill>
    </fill>
    <fill>
      <patternFill patternType="solid">
        <fgColor rgb="FF8E9FAE"/>
        <bgColor rgb="FF8E9FAE"/>
      </patternFill>
    </fill>
    <fill>
      <patternFill patternType="solid">
        <fgColor rgb="FFB7B3B3"/>
        <bgColor rgb="FFB7B3B3"/>
      </patternFill>
    </fill>
    <fill>
      <patternFill patternType="solid">
        <fgColor rgb="FFBB9C9C"/>
        <bgColor rgb="FFBB9C9C"/>
      </patternFill>
    </fill>
    <fill>
      <patternFill patternType="solid">
        <fgColor rgb="FFC35252"/>
        <bgColor rgb="FFC35252"/>
      </patternFill>
    </fill>
    <fill>
      <patternFill patternType="solid">
        <fgColor rgb="FFC35656"/>
        <bgColor rgb="FFC35656"/>
      </patternFill>
    </fill>
    <fill>
      <patternFill patternType="solid">
        <fgColor rgb="FFDD9055"/>
        <bgColor rgb="FFDD9055"/>
      </patternFill>
    </fill>
    <fill>
      <patternFill patternType="solid">
        <fgColor rgb="FFBD8686"/>
        <bgColor rgb="FFBD8686"/>
      </patternFill>
    </fill>
    <fill>
      <patternFill patternType="solid">
        <fgColor rgb="FF3E719F"/>
        <bgColor rgb="FF3E719F"/>
      </patternFill>
    </fill>
    <fill>
      <patternFill patternType="solid">
        <fgColor rgb="FFFA720D"/>
        <bgColor rgb="FFFA720D"/>
      </patternFill>
    </fill>
    <fill>
      <patternFill patternType="solid">
        <fgColor rgb="FF4877A1"/>
        <bgColor rgb="FF4877A1"/>
      </patternFill>
    </fill>
    <fill>
      <patternFill patternType="solid">
        <fgColor rgb="FF97A5B1"/>
        <bgColor rgb="FF97A5B1"/>
      </patternFill>
    </fill>
    <fill>
      <patternFill patternType="solid">
        <fgColor rgb="FFBC8989"/>
        <bgColor rgb="FFBC8989"/>
      </patternFill>
    </fill>
    <fill>
      <patternFill patternType="solid">
        <fgColor rgb="FFBA9595"/>
        <bgColor rgb="FFBA9595"/>
      </patternFill>
    </fill>
    <fill>
      <patternFill patternType="solid">
        <fgColor rgb="FF7993AB"/>
        <bgColor rgb="FF7993AB"/>
      </patternFill>
    </fill>
    <fill>
      <patternFill patternType="solid">
        <fgColor rgb="FFB0B3B6"/>
        <bgColor rgb="FFB0B3B6"/>
      </patternFill>
    </fill>
    <fill>
      <patternFill patternType="solid">
        <fgColor rgb="FFD19C74"/>
        <bgColor rgb="FFD19C74"/>
      </patternFill>
    </fill>
    <fill>
      <patternFill patternType="solid">
        <fgColor rgb="FF7F96AC"/>
        <bgColor rgb="FF7F96AC"/>
      </patternFill>
    </fill>
    <fill>
      <patternFill patternType="solid">
        <fgColor rgb="FFD39B72"/>
        <bgColor rgb="FFD39B72"/>
      </patternFill>
    </fill>
    <fill>
      <patternFill patternType="solid">
        <fgColor rgb="FF5C82A5"/>
        <bgColor rgb="FF5C82A5"/>
      </patternFill>
    </fill>
    <fill>
      <patternFill patternType="solid">
        <fgColor rgb="FFACB1B5"/>
        <bgColor rgb="FFACB1B5"/>
      </patternFill>
    </fill>
    <fill>
      <patternFill patternType="solid">
        <fgColor rgb="FF2F689B"/>
        <bgColor rgb="FF2F689B"/>
      </patternFill>
    </fill>
    <fill>
      <patternFill patternType="solid">
        <fgColor rgb="FF97A4B0"/>
        <bgColor rgb="FF97A4B0"/>
      </patternFill>
    </fill>
    <fill>
      <patternFill patternType="solid">
        <fgColor rgb="FFC06C6C"/>
        <bgColor rgb="FFC06C6C"/>
      </patternFill>
    </fill>
    <fill>
      <patternFill patternType="solid">
        <fgColor rgb="FFC63636"/>
        <bgColor rgb="FFC63636"/>
      </patternFill>
    </fill>
    <fill>
      <patternFill patternType="solid">
        <fgColor rgb="FFC82929"/>
        <bgColor rgb="FFC82929"/>
      </patternFill>
    </fill>
    <fill>
      <patternFill patternType="solid">
        <fgColor rgb="FF94677D"/>
        <bgColor rgb="FF94677D"/>
      </patternFill>
    </fill>
    <fill>
      <patternFill patternType="solid">
        <fgColor rgb="FFB9AAAA"/>
        <bgColor rgb="FFB9AAAA"/>
      </patternFill>
    </fill>
    <fill>
      <patternFill patternType="solid">
        <fgColor rgb="FFB1A9AD"/>
        <bgColor rgb="FFB1A9AD"/>
      </patternFill>
    </fill>
    <fill>
      <patternFill patternType="solid">
        <fgColor rgb="FFBC9090"/>
        <bgColor rgb="FFBC9090"/>
      </patternFill>
    </fill>
    <fill>
      <patternFill patternType="solid">
        <fgColor rgb="FFBB9999"/>
        <bgColor rgb="FFBB9999"/>
      </patternFill>
    </fill>
    <fill>
      <patternFill patternType="solid">
        <fgColor rgb="FFB8A7A7"/>
        <bgColor rgb="FFB8A7A7"/>
      </patternFill>
    </fill>
    <fill>
      <patternFill patternType="solid">
        <fgColor rgb="FFBA9D9D"/>
        <bgColor rgb="FFBA9D9D"/>
      </patternFill>
    </fill>
    <fill>
      <patternFill patternType="solid">
        <fgColor rgb="FFA7AEB4"/>
        <bgColor rgb="FFA7AEB4"/>
      </patternFill>
    </fill>
    <fill>
      <patternFill patternType="solid">
        <fgColor rgb="FF95687E"/>
        <bgColor rgb="FF95687E"/>
      </patternFill>
    </fill>
    <fill>
      <patternFill patternType="solid">
        <fgColor rgb="FF8499AD"/>
        <bgColor rgb="FF8499AD"/>
      </patternFill>
    </fill>
    <fill>
      <patternFill patternType="solid">
        <fgColor rgb="FFBFAFA4"/>
        <bgColor rgb="FFBFAFA4"/>
      </patternFill>
    </fill>
    <fill>
      <patternFill patternType="solid">
        <fgColor rgb="FFA2ABB3"/>
        <bgColor rgb="FFA2ABB3"/>
      </patternFill>
    </fill>
    <fill>
      <patternFill patternType="solid">
        <fgColor rgb="FF9CA7B2"/>
        <bgColor rgb="FF9CA7B2"/>
      </patternFill>
    </fill>
    <fill>
      <patternFill patternType="solid">
        <fgColor rgb="FFC44545"/>
        <bgColor rgb="FFC44545"/>
      </patternFill>
    </fill>
    <fill>
      <patternFill patternType="solid">
        <fgColor rgb="FF5F84A5"/>
        <bgColor rgb="FF5F84A5"/>
      </patternFill>
    </fill>
    <fill>
      <patternFill patternType="solid">
        <fgColor rgb="FF96A4B1"/>
        <bgColor rgb="FF96A4B1"/>
      </patternFill>
    </fill>
    <fill>
      <patternFill patternType="solid">
        <fgColor rgb="FF8D9FAF"/>
        <bgColor rgb="FF8D9FAF"/>
      </patternFill>
    </fill>
    <fill>
      <patternFill patternType="solid">
        <fgColor rgb="FFADA1A7"/>
        <bgColor rgb="FFADA1A7"/>
      </patternFill>
    </fill>
    <fill>
      <patternFill patternType="solid">
        <fgColor rgb="FFFFFFFF"/>
        <bgColor rgb="FFFFFFFF"/>
      </patternFill>
    </fill>
    <fill>
      <patternFill patternType="solid">
        <fgColor rgb="FFBD8A8A"/>
        <bgColor rgb="FFBD8A8A"/>
      </patternFill>
    </fill>
    <fill>
      <patternFill patternType="solid">
        <fgColor rgb="FFAD9FA6"/>
        <bgColor rgb="FFAD9FA6"/>
      </patternFill>
    </fill>
    <fill>
      <patternFill patternType="solid">
        <fgColor rgb="FFBD8787"/>
        <bgColor rgb="FFBD8787"/>
      </patternFill>
    </fill>
    <fill>
      <patternFill patternType="solid">
        <fgColor rgb="FFC25858"/>
        <bgColor rgb="FFC25858"/>
      </patternFill>
    </fill>
    <fill>
      <patternFill patternType="solid">
        <fgColor rgb="FFA9AFB5"/>
        <bgColor rgb="FFA9AFB5"/>
      </patternFill>
    </fill>
    <fill>
      <patternFill patternType="solid">
        <fgColor rgb="FFD79664"/>
        <bgColor rgb="FFD79664"/>
      </patternFill>
    </fill>
    <fill>
      <patternFill patternType="solid">
        <fgColor rgb="FFBC8E8E"/>
        <bgColor rgb="FFBC8E8E"/>
      </patternFill>
    </fill>
    <fill>
      <patternFill patternType="solid">
        <fgColor rgb="FFFA720E"/>
        <bgColor rgb="FFFA720E"/>
      </patternFill>
    </fill>
    <fill>
      <patternFill patternType="solid">
        <fgColor rgb="FF4977A1"/>
        <bgColor rgb="FF4977A1"/>
      </patternFill>
    </fill>
    <fill>
      <patternFill patternType="solid">
        <fgColor rgb="FF98A5B1"/>
        <bgColor rgb="FF98A5B1"/>
      </patternFill>
    </fill>
    <fill>
      <patternFill patternType="solid">
        <fgColor rgb="FFBB9797"/>
        <bgColor rgb="FFBB9797"/>
      </patternFill>
    </fill>
    <fill>
      <patternFill patternType="solid">
        <fgColor rgb="FF7591AA"/>
        <bgColor rgb="FF7591AA"/>
      </patternFill>
    </fill>
    <fill>
      <patternFill patternType="solid">
        <fgColor rgb="FFAFB2B6"/>
        <bgColor rgb="FFAFB2B6"/>
      </patternFill>
    </fill>
    <fill>
      <patternFill patternType="solid">
        <fgColor rgb="FFFF0000"/>
        <bgColor rgb="FFFF0000"/>
      </patternFill>
    </fill>
    <fill>
      <patternFill patternType="solid">
        <fgColor rgb="FF8098AC"/>
        <bgColor rgb="FF8098AC"/>
      </patternFill>
    </fill>
    <fill>
      <patternFill patternType="solid">
        <fgColor rgb="FFD29B72"/>
        <bgColor rgb="FFD29B72"/>
      </patternFill>
    </fill>
    <fill>
      <patternFill patternType="solid">
        <fgColor rgb="FF5D83A5"/>
        <bgColor rgb="FF5D83A5"/>
      </patternFill>
    </fill>
    <fill>
      <patternFill patternType="solid">
        <fgColor rgb="FFADB2B5"/>
        <bgColor rgb="FFADB2B5"/>
      </patternFill>
    </fill>
    <fill>
      <patternFill patternType="solid">
        <fgColor rgb="FF96A4B0"/>
        <bgColor rgb="FF96A4B0"/>
      </patternFill>
    </fill>
    <fill>
      <patternFill patternType="solid">
        <fgColor rgb="FFBF7575"/>
        <bgColor rgb="FFBF7575"/>
      </patternFill>
    </fill>
    <fill>
      <patternFill patternType="solid">
        <fgColor rgb="FFC63939"/>
        <bgColor rgb="FFC63939"/>
      </patternFill>
    </fill>
    <fill>
      <patternFill patternType="solid">
        <fgColor rgb="FFC82A2A"/>
        <bgColor rgb="FFC82A2A"/>
      </patternFill>
    </fill>
    <fill>
      <patternFill patternType="solid">
        <fgColor rgb="FFB9A6A6"/>
        <bgColor rgb="FFB9A6A6"/>
      </patternFill>
    </fill>
    <fill>
      <patternFill patternType="solid">
        <fgColor rgb="FFB9A7A7"/>
        <bgColor rgb="FFB9A7A7"/>
      </patternFill>
    </fill>
    <fill>
      <patternFill patternType="solid">
        <fgColor rgb="FFB1A8AC"/>
        <bgColor rgb="FFB1A8AC"/>
      </patternFill>
    </fill>
    <fill>
      <patternFill patternType="solid">
        <fgColor rgb="FFBC9191"/>
        <bgColor rgb="FFBC9191"/>
      </patternFill>
    </fill>
    <fill>
      <patternFill patternType="solid">
        <fgColor rgb="FFB8A6A6"/>
        <bgColor rgb="FFB8A6A6"/>
      </patternFill>
    </fill>
    <fill>
      <patternFill patternType="solid">
        <fgColor rgb="FFBC9393"/>
        <bgColor rgb="FFBC9393"/>
      </patternFill>
    </fill>
    <fill>
      <patternFill patternType="solid">
        <fgColor rgb="FFA1ABB3"/>
        <bgColor rgb="FFA1ABB3"/>
      </patternFill>
    </fill>
    <fill>
      <patternFill patternType="solid">
        <fgColor rgb="FFAEB2B6"/>
        <bgColor rgb="FFAEB2B6"/>
      </patternFill>
    </fill>
    <fill>
      <patternFill patternType="solid">
        <fgColor rgb="FFB9ACAC"/>
        <bgColor rgb="FFB9ACAC"/>
      </patternFill>
    </fill>
    <fill>
      <patternFill patternType="solid">
        <fgColor rgb="FF8097AC"/>
        <bgColor rgb="FF8097AC"/>
      </patternFill>
    </fill>
    <fill>
      <patternFill patternType="solid">
        <fgColor rgb="FFD09E79"/>
        <bgColor rgb="FFD09E79"/>
      </patternFill>
    </fill>
    <fill>
      <patternFill patternType="solid">
        <fgColor rgb="FF9FAAB3"/>
        <bgColor rgb="FF9FAAB3"/>
      </patternFill>
    </fill>
    <fill>
      <patternFill patternType="solid">
        <fgColor rgb="FF94A3B0"/>
        <bgColor rgb="FF94A3B0"/>
      </patternFill>
    </fill>
    <fill>
      <patternFill patternType="solid">
        <fgColor rgb="FF3E719E"/>
        <bgColor rgb="FF3E719E"/>
      </patternFill>
    </fill>
    <fill>
      <patternFill patternType="solid">
        <fgColor rgb="FF6D8CA7"/>
        <bgColor rgb="FF6D8CA7"/>
      </patternFill>
    </fill>
    <fill>
      <patternFill patternType="solid">
        <fgColor rgb="FFBAA3A3"/>
        <bgColor rgb="FFBAA3A3"/>
      </patternFill>
    </fill>
    <fill>
      <patternFill patternType="solid">
        <fgColor rgb="FFC54040"/>
        <bgColor rgb="FFC54040"/>
      </patternFill>
    </fill>
    <fill>
      <patternFill patternType="solid">
        <fgColor rgb="FF77224C"/>
        <bgColor rgb="FF77224C"/>
      </patternFill>
    </fill>
    <fill>
      <patternFill patternType="solid">
        <fgColor rgb="FFB8AFAF"/>
        <bgColor rgb="FFB8AFAF"/>
      </patternFill>
    </fill>
    <fill>
      <patternFill patternType="solid">
        <fgColor rgb="FF7490AA"/>
        <bgColor rgb="FF7490AA"/>
      </patternFill>
    </fill>
    <fill>
      <patternFill patternType="solid">
        <fgColor rgb="FFD4996E"/>
        <bgColor rgb="FFD4996E"/>
      </patternFill>
    </fill>
    <fill>
      <patternFill patternType="solid">
        <fgColor rgb="FFBA9A9A"/>
        <bgColor rgb="FFBA9A9A"/>
      </patternFill>
    </fill>
    <fill>
      <patternFill patternType="solid">
        <fgColor rgb="FF91A1B0"/>
        <bgColor rgb="FF91A1B0"/>
      </patternFill>
    </fill>
    <fill>
      <patternFill patternType="solid">
        <fgColor rgb="FFB1B4B6"/>
        <bgColor rgb="FFB1B4B6"/>
      </patternFill>
    </fill>
    <fill>
      <patternFill patternType="solid">
        <fgColor rgb="FFAEA2A8"/>
        <bgColor rgb="FFAEA2A8"/>
      </patternFill>
    </fill>
    <fill>
      <patternFill patternType="solid">
        <fgColor rgb="FFB8B4B4"/>
        <bgColor rgb="FFB8B4B4"/>
      </patternFill>
    </fill>
    <fill>
      <patternFill patternType="solid">
        <fgColor rgb="FF175A97"/>
        <bgColor rgb="FF175A97"/>
      </patternFill>
    </fill>
    <fill>
      <patternFill patternType="solid">
        <fgColor rgb="FF5B82A5"/>
        <bgColor rgb="FF5B82A5"/>
      </patternFill>
    </fill>
    <fill>
      <patternFill patternType="solid">
        <fgColor rgb="FF2B659A"/>
        <bgColor rgb="FF2B659A"/>
      </patternFill>
    </fill>
    <fill>
      <patternFill patternType="solid">
        <fgColor rgb="FF517BA2"/>
        <bgColor rgb="FF517BA2"/>
      </patternFill>
    </fill>
    <fill>
      <patternFill patternType="solid">
        <fgColor rgb="FFB9ADAD"/>
        <bgColor rgb="FFB9ADAD"/>
      </patternFill>
    </fill>
    <fill>
      <patternFill patternType="solid">
        <fgColor rgb="FFC07070"/>
        <bgColor rgb="FFC07070"/>
      </patternFill>
    </fill>
    <fill>
      <patternFill patternType="solid">
        <fgColor rgb="FF844162"/>
        <bgColor rgb="FF844162"/>
      </patternFill>
    </fill>
    <fill>
      <patternFill patternType="solid">
        <fgColor rgb="FFB8B5B5"/>
        <bgColor rgb="FFB8B5B5"/>
      </patternFill>
    </fill>
    <fill>
      <patternFill patternType="solid">
        <fgColor rgb="FFA68E9A"/>
        <bgColor rgb="FFA68E9A"/>
      </patternFill>
    </fill>
    <fill>
      <patternFill patternType="solid">
        <fgColor rgb="FFB9ABAB"/>
        <bgColor rgb="FFB9ABAB"/>
      </patternFill>
    </fill>
    <fill>
      <patternFill patternType="solid">
        <fgColor rgb="FF9FA9B3"/>
        <bgColor rgb="FF9FA9B3"/>
      </patternFill>
    </fill>
    <fill>
      <patternFill patternType="solid">
        <fgColor rgb="FF7F96AB"/>
        <bgColor rgb="FF7F96AB"/>
      </patternFill>
    </fill>
    <fill>
      <patternFill patternType="solid">
        <fgColor rgb="FF567FA4"/>
        <bgColor rgb="FF567FA4"/>
      </patternFill>
    </fill>
    <fill>
      <patternFill patternType="solid">
        <fgColor rgb="FFC73232"/>
        <bgColor rgb="FFC73232"/>
      </patternFill>
    </fill>
    <fill>
      <patternFill patternType="solid">
        <fgColor rgb="FFC72D2D"/>
        <bgColor rgb="FFC72D2D"/>
      </patternFill>
    </fill>
    <fill>
      <patternFill patternType="solid">
        <fgColor rgb="FFB6B6B6"/>
        <bgColor rgb="FFB6B6B6"/>
      </patternFill>
    </fill>
    <fill>
      <patternFill patternType="solid">
        <fgColor rgb="FFC54444"/>
        <bgColor rgb="FFC54444"/>
      </patternFill>
    </fill>
    <fill>
      <patternFill patternType="solid">
        <fgColor rgb="FF81395C"/>
        <bgColor rgb="FF81395C"/>
      </patternFill>
    </fill>
    <fill>
      <patternFill patternType="solid">
        <fgColor rgb="FF125795"/>
        <bgColor rgb="FF125795"/>
      </patternFill>
    </fill>
    <fill>
      <patternFill patternType="solid">
        <fgColor rgb="FF537DA2"/>
        <bgColor rgb="FF537DA2"/>
      </patternFill>
    </fill>
    <fill>
      <patternFill patternType="solid">
        <fgColor rgb="FFBC8F8F"/>
        <bgColor rgb="FFBC8F8F"/>
      </patternFill>
    </fill>
    <fill>
      <patternFill patternType="solid">
        <fgColor rgb="FFBF9000"/>
        <bgColor rgb="FFBF9000"/>
      </patternFill>
    </fill>
    <fill>
      <patternFill patternType="solid">
        <fgColor rgb="FFABB0B5"/>
        <bgColor rgb="FFABB0B5"/>
      </patternFill>
    </fill>
    <fill>
      <patternFill patternType="solid">
        <fgColor rgb="FF5980A4"/>
        <bgColor rgb="FF5980A4"/>
      </patternFill>
    </fill>
    <fill>
      <patternFill patternType="solid">
        <fgColor rgb="FFDD9058"/>
        <bgColor rgb="FFDD9058"/>
      </patternFill>
    </fill>
    <fill>
      <patternFill patternType="solid">
        <fgColor rgb="FF718EA9"/>
        <bgColor rgb="FF718EA9"/>
      </patternFill>
    </fill>
    <fill>
      <patternFill patternType="solid">
        <fgColor rgb="FFBD7B7B"/>
        <bgColor rgb="FFBD7B7B"/>
      </patternFill>
    </fill>
    <fill>
      <patternFill patternType="solid">
        <fgColor rgb="FF5C83A5"/>
        <bgColor rgb="FF5C83A5"/>
      </patternFill>
    </fill>
    <fill>
      <patternFill patternType="solid">
        <fgColor rgb="FF8298AD"/>
        <bgColor rgb="FF8298AD"/>
      </patternFill>
    </fill>
    <fill>
      <patternFill patternType="solid">
        <fgColor rgb="FF8C5470"/>
        <bgColor rgb="FF8C5470"/>
      </patternFill>
    </fill>
    <fill>
      <patternFill patternType="solid">
        <fgColor rgb="FFA1AAB3"/>
        <bgColor rgb="FFA1AAB3"/>
      </patternFill>
    </fill>
    <fill>
      <patternFill patternType="solid">
        <fgColor rgb="FF4474A0"/>
        <bgColor rgb="FF4474A0"/>
      </patternFill>
    </fill>
    <fill>
      <patternFill patternType="solid">
        <fgColor rgb="FFE58743"/>
        <bgColor rgb="FFE58743"/>
      </patternFill>
    </fill>
    <fill>
      <patternFill patternType="solid">
        <fgColor rgb="FF547EA3"/>
        <bgColor rgb="FF547EA3"/>
      </patternFill>
    </fill>
    <fill>
      <patternFill patternType="solid">
        <fgColor rgb="FFB2B5B6"/>
        <bgColor rgb="FFB2B5B6"/>
      </patternFill>
    </fill>
    <fill>
      <patternFill patternType="solid">
        <fgColor rgb="FFC25050"/>
        <bgColor rgb="FFC25050"/>
      </patternFill>
    </fill>
    <fill>
      <patternFill patternType="solid">
        <fgColor rgb="FF7993AA"/>
        <bgColor rgb="FF7993AA"/>
      </patternFill>
    </fill>
    <fill>
      <patternFill patternType="solid">
        <fgColor rgb="FF376D9D"/>
        <bgColor rgb="FF376D9D"/>
      </patternFill>
    </fill>
    <fill>
      <patternFill patternType="solid">
        <fgColor rgb="FFBE7A7A"/>
        <bgColor rgb="FFBE7A7A"/>
      </patternFill>
    </fill>
    <fill>
      <patternFill patternType="solid">
        <fgColor rgb="FF80375B"/>
        <bgColor rgb="FF80375B"/>
      </patternFill>
    </fill>
    <fill>
      <patternFill patternType="solid">
        <fgColor rgb="FF99A6B1"/>
        <bgColor rgb="FF99A6B1"/>
      </patternFill>
    </fill>
    <fill>
      <patternFill patternType="solid">
        <fgColor rgb="FF7B94AB"/>
        <bgColor rgb="FF7B94AB"/>
      </patternFill>
    </fill>
    <fill>
      <patternFill patternType="solid">
        <fgColor rgb="FFCAA489"/>
        <bgColor rgb="FFCAA489"/>
      </patternFill>
    </fill>
    <fill>
      <patternFill patternType="solid">
        <fgColor rgb="FF5E84A5"/>
        <bgColor rgb="FF5E84A5"/>
      </patternFill>
    </fill>
    <fill>
      <patternFill patternType="solid">
        <fgColor rgb="FFBC8484"/>
        <bgColor rgb="FFBC8484"/>
      </patternFill>
    </fill>
    <fill>
      <patternFill patternType="solid">
        <fgColor rgb="FF94A2AF"/>
        <bgColor rgb="FF94A2AF"/>
      </patternFill>
    </fill>
    <fill>
      <patternFill patternType="solid">
        <fgColor rgb="FF7692AA"/>
        <bgColor rgb="FF7692AA"/>
      </patternFill>
    </fill>
    <fill>
      <patternFill patternType="solid">
        <fgColor rgb="FF8FA0AF"/>
        <bgColor rgb="FF8FA0AF"/>
      </patternFill>
    </fill>
    <fill>
      <patternFill patternType="solid">
        <fgColor rgb="FFAA9AA2"/>
        <bgColor rgb="FFAA9AA2"/>
      </patternFill>
    </fill>
    <fill>
      <patternFill patternType="solid">
        <fgColor rgb="FF93A2B0"/>
        <bgColor rgb="FF93A2B0"/>
      </patternFill>
    </fill>
    <fill>
      <patternFill patternType="solid">
        <fgColor rgb="FF7D96AC"/>
        <bgColor rgb="FF7D96AC"/>
      </patternFill>
    </fill>
    <fill>
      <patternFill patternType="solid">
        <fgColor rgb="FFC7A68E"/>
        <bgColor rgb="FFC7A68E"/>
      </patternFill>
    </fill>
    <fill>
      <patternFill patternType="solid">
        <fgColor rgb="FF4776A1"/>
        <bgColor rgb="FF4776A1"/>
      </patternFill>
    </fill>
    <fill>
      <patternFill patternType="solid">
        <fgColor rgb="FF2D679B"/>
        <bgColor rgb="FF2D679B"/>
      </patternFill>
    </fill>
    <fill>
      <patternFill patternType="solid">
        <fgColor rgb="FF3F719F"/>
        <bgColor rgb="FF3F719F"/>
      </patternFill>
    </fill>
    <fill>
      <patternFill patternType="solid">
        <fgColor rgb="FFBF7878"/>
        <bgColor rgb="FFBF7878"/>
      </patternFill>
    </fill>
    <fill>
      <patternFill patternType="solid">
        <fgColor rgb="FF926079"/>
        <bgColor rgb="FF926079"/>
      </patternFill>
    </fill>
    <fill>
      <patternFill patternType="solid">
        <fgColor rgb="FF6A8AA7"/>
        <bgColor rgb="FF6A8AA7"/>
      </patternFill>
    </fill>
    <fill>
      <patternFill patternType="solid">
        <fgColor rgb="FF29649A"/>
        <bgColor rgb="FF29649A"/>
      </patternFill>
    </fill>
    <fill>
      <patternFill patternType="solid">
        <fgColor rgb="FF5E83A5"/>
        <bgColor rgb="FF5E83A5"/>
      </patternFill>
    </fill>
    <fill>
      <patternFill patternType="solid">
        <fgColor rgb="FF9D7B8C"/>
        <bgColor rgb="FF9D7B8C"/>
      </patternFill>
    </fill>
    <fill>
      <patternFill patternType="solid">
        <fgColor rgb="FF8B9DAE"/>
        <bgColor rgb="FF8B9DAE"/>
      </patternFill>
    </fill>
    <fill>
      <patternFill patternType="solid">
        <fgColor rgb="FFB9B5B2"/>
        <bgColor rgb="FFB9B5B2"/>
      </patternFill>
    </fill>
    <fill>
      <patternFill patternType="solid">
        <fgColor rgb="FFB4B6B7"/>
        <bgColor rgb="FFB4B6B7"/>
      </patternFill>
    </fill>
    <fill>
      <patternFill patternType="solid">
        <fgColor rgb="FF7390AA"/>
        <bgColor rgb="FF7390AA"/>
      </patternFill>
    </fill>
    <fill>
      <patternFill patternType="solid">
        <fgColor rgb="FF386D9E"/>
        <bgColor rgb="FF386D9E"/>
      </patternFill>
    </fill>
    <fill>
      <patternFill patternType="solid">
        <fgColor rgb="FF4A78A1"/>
        <bgColor rgb="FF4A78A1"/>
      </patternFill>
    </fill>
    <fill>
      <patternFill patternType="solid">
        <fgColor rgb="FF5A81A4"/>
        <bgColor rgb="FF5A81A4"/>
      </patternFill>
    </fill>
    <fill>
      <patternFill patternType="solid">
        <fgColor rgb="FF517CA2"/>
        <bgColor rgb="FF517CA2"/>
      </patternFill>
    </fill>
    <fill>
      <patternFill patternType="solid">
        <fgColor rgb="FFBAA0A0"/>
        <bgColor rgb="FFBAA0A0"/>
      </patternFill>
    </fill>
    <fill>
      <patternFill patternType="solid">
        <fgColor rgb="FFC06F6F"/>
        <bgColor rgb="FFC06F6F"/>
      </patternFill>
    </fill>
    <fill>
      <patternFill patternType="solid">
        <fgColor rgb="FF6A8AA8"/>
        <bgColor rgb="FF6A8AA8"/>
      </patternFill>
    </fill>
    <fill>
      <patternFill patternType="solid">
        <fgColor rgb="FFF67618"/>
        <bgColor rgb="FFF67618"/>
      </patternFill>
    </fill>
    <fill>
      <patternFill patternType="solid">
        <fgColor rgb="FFB8ABAB"/>
        <bgColor rgb="FFB8ABAB"/>
      </patternFill>
    </fill>
    <fill>
      <patternFill patternType="solid">
        <fgColor rgb="FF99A5B0"/>
        <bgColor rgb="FF99A5B0"/>
      </patternFill>
    </fill>
    <fill>
      <patternFill patternType="solid">
        <fgColor rgb="FF9CA8B2"/>
        <bgColor rgb="FF9CA8B2"/>
      </patternFill>
    </fill>
    <fill>
      <patternFill patternType="solid">
        <fgColor rgb="FFBC9292"/>
        <bgColor rgb="FFBC9292"/>
      </patternFill>
    </fill>
    <fill>
      <patternFill patternType="solid">
        <fgColor rgb="FFA997A0"/>
        <bgColor rgb="FFA997A0"/>
      </patternFill>
    </fill>
    <fill>
      <patternFill patternType="solid">
        <fgColor rgb="FF97A4B1"/>
        <bgColor rgb="FF97A4B1"/>
      </patternFill>
    </fill>
    <fill>
      <patternFill patternType="solid">
        <fgColor rgb="FF92A2B0"/>
        <bgColor rgb="FF92A2B0"/>
      </patternFill>
    </fill>
    <fill>
      <patternFill patternType="solid">
        <fgColor rgb="FF266299"/>
        <bgColor rgb="FF266299"/>
      </patternFill>
    </fill>
    <fill>
      <patternFill patternType="solid">
        <fgColor rgb="FFB8A9A9"/>
        <bgColor rgb="FFB8A9A9"/>
      </patternFill>
    </fill>
    <fill>
      <patternFill patternType="solid">
        <fgColor rgb="FFA0AAB3"/>
        <bgColor rgb="FFA0AAB3"/>
      </patternFill>
    </fill>
    <fill>
      <patternFill patternType="solid">
        <fgColor rgb="FF884B6A"/>
        <bgColor rgb="FF884B6A"/>
      </patternFill>
    </fill>
    <fill>
      <patternFill patternType="solid">
        <fgColor rgb="FF1C5D98"/>
        <bgColor rgb="FF1C5D98"/>
      </patternFill>
    </fill>
    <fill>
      <patternFill patternType="solid">
        <fgColor rgb="FFEE7E2C"/>
        <bgColor rgb="FFEE7E2C"/>
      </patternFill>
    </fill>
    <fill>
      <patternFill patternType="solid">
        <fgColor rgb="FF3A6F9E"/>
        <bgColor rgb="FF3A6F9E"/>
      </patternFill>
    </fill>
    <fill>
      <patternFill patternType="solid">
        <fgColor rgb="FF8E9FAF"/>
        <bgColor rgb="FF8E9FAF"/>
      </patternFill>
    </fill>
    <fill>
      <patternFill patternType="solid">
        <fgColor rgb="FF386E9E"/>
        <bgColor rgb="FF386E9E"/>
      </patternFill>
    </fill>
    <fill>
      <patternFill patternType="solid">
        <fgColor rgb="FFE8853C"/>
        <bgColor rgb="FFE8853C"/>
      </patternFill>
    </fill>
    <fill>
      <patternFill patternType="solid">
        <fgColor rgb="FF366C9D"/>
        <bgColor rgb="FF366C9D"/>
      </patternFill>
    </fill>
    <fill>
      <patternFill patternType="solid">
        <fgColor rgb="FFAAB0B5"/>
        <bgColor rgb="FFAAB0B5"/>
      </patternFill>
    </fill>
    <fill>
      <patternFill patternType="solid">
        <fgColor rgb="FF90A0AF"/>
        <bgColor rgb="FF90A0AF"/>
      </patternFill>
    </fill>
    <fill>
      <patternFill patternType="solid">
        <fgColor rgb="FFB7B0B0"/>
        <bgColor rgb="FFB7B0B0"/>
      </patternFill>
    </fill>
    <fill>
      <patternFill patternType="solid">
        <fgColor rgb="FFBC8B8B"/>
        <bgColor rgb="FFBC8B8B"/>
      </patternFill>
    </fill>
    <fill>
      <patternFill patternType="solid">
        <fgColor rgb="FF6185A6"/>
        <bgColor rgb="FF6185A6"/>
      </patternFill>
    </fill>
    <fill>
      <patternFill patternType="solid">
        <fgColor rgb="FF95A3B0"/>
        <bgColor rgb="FF95A3B0"/>
      </patternFill>
    </fill>
    <fill>
      <patternFill patternType="solid">
        <fgColor rgb="FF4374A0"/>
        <bgColor rgb="FF4374A0"/>
      </patternFill>
    </fill>
    <fill>
      <patternFill patternType="solid">
        <fgColor rgb="FFE58742"/>
        <bgColor rgb="FFE58742"/>
      </patternFill>
    </fill>
    <fill>
      <patternFill patternType="solid">
        <fgColor rgb="FF537DA3"/>
        <bgColor rgb="FF537DA3"/>
      </patternFill>
    </fill>
    <fill>
      <patternFill patternType="solid">
        <fgColor rgb="FF7A93AA"/>
        <bgColor rgb="FF7A93AA"/>
      </patternFill>
    </fill>
    <fill>
      <patternFill patternType="solid">
        <fgColor rgb="FF3A6E9E"/>
        <bgColor rgb="FF3A6E9E"/>
      </patternFill>
    </fill>
    <fill>
      <patternFill patternType="solid">
        <fgColor rgb="FFBF7373"/>
        <bgColor rgb="FFBF7373"/>
      </patternFill>
    </fill>
    <fill>
      <patternFill patternType="solid">
        <fgColor rgb="FFBB9898"/>
        <bgColor rgb="FFBB9898"/>
      </patternFill>
    </fill>
    <fill>
      <patternFill patternType="solid">
        <fgColor rgb="FF859AAD"/>
        <bgColor rgb="FF859AAD"/>
      </patternFill>
    </fill>
    <fill>
      <patternFill patternType="solid">
        <fgColor rgb="FFE48947"/>
        <bgColor rgb="FFE48947"/>
      </patternFill>
    </fill>
    <fill>
      <patternFill patternType="solid">
        <fgColor rgb="FF8198AC"/>
        <bgColor rgb="FF8198AC"/>
      </patternFill>
    </fill>
    <fill>
      <patternFill patternType="solid">
        <fgColor rgb="FFCE9F7B"/>
        <bgColor rgb="FFCE9F7B"/>
      </patternFill>
    </fill>
    <fill>
      <patternFill patternType="solid">
        <fgColor rgb="FFB8B1B1"/>
        <bgColor rgb="FFB8B1B1"/>
      </patternFill>
    </fill>
    <fill>
      <patternFill patternType="solid">
        <fgColor rgb="FF5880A4"/>
        <bgColor rgb="FF5880A4"/>
      </patternFill>
    </fill>
    <fill>
      <patternFill patternType="solid">
        <fgColor rgb="FF6F8EA9"/>
        <bgColor rgb="FF6F8EA9"/>
      </patternFill>
    </fill>
    <fill>
      <patternFill patternType="solid">
        <fgColor rgb="FF5F84A6"/>
        <bgColor rgb="FF5F84A6"/>
      </patternFill>
    </fill>
    <fill>
      <patternFill patternType="solid">
        <fgColor rgb="FF4F7BA2"/>
        <bgColor rgb="FF4F7BA2"/>
      </patternFill>
    </fill>
    <fill>
      <patternFill patternType="solid">
        <fgColor rgb="FFDB925D"/>
        <bgColor rgb="FFDB925D"/>
      </patternFill>
    </fill>
    <fill>
      <patternFill patternType="solid">
        <fgColor rgb="FF9AA6B1"/>
        <bgColor rgb="FF9AA6B1"/>
      </patternFill>
    </fill>
    <fill>
      <patternFill patternType="solid">
        <fgColor rgb="FF7490A9"/>
        <bgColor rgb="FF7490A9"/>
      </patternFill>
    </fill>
    <fill>
      <patternFill patternType="solid">
        <fgColor rgb="FFB3B5B7"/>
        <bgColor rgb="FFB3B5B7"/>
      </patternFill>
    </fill>
    <fill>
      <patternFill patternType="solid">
        <fgColor rgb="FFBB9494"/>
        <bgColor rgb="FFBB9494"/>
      </patternFill>
    </fill>
    <fill>
      <patternFill patternType="solid">
        <fgColor rgb="FFE08D4E"/>
        <bgColor rgb="FFE08D4E"/>
      </patternFill>
    </fill>
    <fill>
      <patternFill patternType="solid">
        <fgColor rgb="FF728FA9"/>
        <bgColor rgb="FF728FA9"/>
      </patternFill>
    </fill>
    <fill>
      <patternFill patternType="solid">
        <fgColor rgb="FFD5996D"/>
        <bgColor rgb="FFD5996D"/>
      </patternFill>
    </fill>
    <fill>
      <patternFill patternType="solid">
        <fgColor rgb="FF7E96AC"/>
        <bgColor rgb="FF7E96AC"/>
      </patternFill>
    </fill>
    <fill>
      <patternFill patternType="solid">
        <fgColor rgb="FFADB1B5"/>
        <bgColor rgb="FFADB1B5"/>
      </patternFill>
    </fill>
    <fill>
      <patternFill patternType="solid">
        <fgColor rgb="FFBAA2A2"/>
        <bgColor rgb="FFBAA2A2"/>
      </patternFill>
    </fill>
    <fill>
      <patternFill patternType="solid">
        <fgColor rgb="FFD09D79"/>
        <bgColor rgb="FFD09D79"/>
      </patternFill>
    </fill>
    <fill>
      <patternFill patternType="solid">
        <fgColor rgb="FF6D8CA8"/>
        <bgColor rgb="FF6D8CA8"/>
      </patternFill>
    </fill>
    <fill>
      <patternFill patternType="solid">
        <fgColor rgb="FFC53D3D"/>
        <bgColor rgb="FFC53D3D"/>
      </patternFill>
    </fill>
    <fill>
      <patternFill patternType="solid">
        <fgColor rgb="FF577FA4"/>
        <bgColor rgb="FF577FA4"/>
      </patternFill>
    </fill>
    <fill>
      <patternFill patternType="solid">
        <fgColor rgb="FFCE9F7C"/>
        <bgColor rgb="FFCE9F7C"/>
      </patternFill>
    </fill>
    <fill>
      <patternFill patternType="solid">
        <fgColor rgb="FFA4ACB4"/>
        <bgColor rgb="FFA4ACB4"/>
      </patternFill>
    </fill>
    <fill>
      <patternFill patternType="solid">
        <fgColor rgb="FFB9A1A1"/>
        <bgColor rgb="FFB9A1A1"/>
      </patternFill>
    </fill>
    <fill>
      <patternFill patternType="solid">
        <fgColor rgb="FF859AAC"/>
        <bgColor rgb="FF859AAC"/>
      </patternFill>
    </fill>
    <fill>
      <patternFill patternType="solid">
        <fgColor rgb="FF849AAD"/>
        <bgColor rgb="FF849AAD"/>
      </patternFill>
    </fill>
    <fill>
      <patternFill patternType="solid">
        <fgColor rgb="FFCAA488"/>
        <bgColor rgb="FFCAA488"/>
      </patternFill>
    </fill>
    <fill>
      <patternFill patternType="solid">
        <fgColor rgb="FFBC8585"/>
        <bgColor rgb="FFBC8585"/>
      </patternFill>
    </fill>
    <fill>
      <patternFill patternType="solid">
        <fgColor rgb="FF7D95AC"/>
        <bgColor rgb="FF7D95AC"/>
      </patternFill>
    </fill>
    <fill>
      <patternFill patternType="solid">
        <fgColor rgb="FFAA99A2"/>
        <bgColor rgb="FFAA99A2"/>
      </patternFill>
    </fill>
    <fill>
      <patternFill patternType="solid">
        <fgColor rgb="FF4676A0"/>
        <bgColor rgb="FF4676A0"/>
      </patternFill>
    </fill>
    <fill>
      <patternFill patternType="solid">
        <fgColor rgb="FF708EA9"/>
        <bgColor rgb="FF708EA9"/>
      </patternFill>
    </fill>
    <fill>
      <patternFill patternType="solid">
        <fgColor rgb="FF6989A7"/>
        <bgColor rgb="FF6989A7"/>
      </patternFill>
    </fill>
    <fill>
      <patternFill patternType="solid">
        <fgColor rgb="FF1A5B97"/>
        <bgColor rgb="FF1A5B97"/>
      </patternFill>
    </fill>
    <fill>
      <patternFill patternType="solid">
        <fgColor rgb="FF4876A1"/>
        <bgColor rgb="FF4876A1"/>
      </patternFill>
    </fill>
    <fill>
      <patternFill patternType="solid">
        <fgColor rgb="FF7B95AB"/>
        <bgColor rgb="FF7B95AB"/>
      </patternFill>
    </fill>
    <fill>
      <patternFill patternType="solid">
        <fgColor rgb="FFC8A68D"/>
        <bgColor rgb="FFC8A68D"/>
      </patternFill>
    </fill>
    <fill>
      <patternFill patternType="solid">
        <fgColor rgb="FF42739F"/>
        <bgColor rgb="FF42739F"/>
      </patternFill>
    </fill>
    <fill>
      <patternFill patternType="solid">
        <fgColor rgb="FF6387A6"/>
        <bgColor rgb="FF6387A6"/>
      </patternFill>
    </fill>
    <fill>
      <patternFill patternType="solid">
        <fgColor rgb="FFC7A790"/>
        <bgColor rgb="FFC7A790"/>
      </patternFill>
    </fill>
    <fill>
      <patternFill patternType="solid">
        <fgColor rgb="FF5780A4"/>
        <bgColor rgb="FF5780A4"/>
      </patternFill>
    </fill>
    <fill>
      <patternFill patternType="solid">
        <fgColor rgb="FFBF7171"/>
        <bgColor rgb="FFBF7171"/>
      </patternFill>
    </fill>
    <fill>
      <patternFill patternType="solid">
        <fgColor rgb="FF8B9EAF"/>
        <bgColor rgb="FF8B9EAF"/>
      </patternFill>
    </fill>
    <fill>
      <patternFill patternType="solid">
        <fgColor rgb="FF8D5571"/>
        <bgColor rgb="FF8D5571"/>
      </patternFill>
    </fill>
    <fill>
      <patternFill patternType="solid">
        <fgColor rgb="FFBBB3AE"/>
        <bgColor rgb="FFBBB3AE"/>
      </patternFill>
    </fill>
    <fill>
      <patternFill patternType="solid">
        <fgColor rgb="FFCB0D0D"/>
        <bgColor rgb="FFCB0D0D"/>
      </patternFill>
    </fill>
    <fill>
      <patternFill patternType="solid">
        <fgColor rgb="FFBB8F8F"/>
        <bgColor rgb="FFBB8F8F"/>
      </patternFill>
    </fill>
    <fill>
      <patternFill patternType="solid">
        <fgColor rgb="FFBE7E7E"/>
        <bgColor rgb="FFBE7E7E"/>
      </patternFill>
    </fill>
    <fill>
      <patternFill patternType="solid">
        <fgColor rgb="FFBB9B9B"/>
        <bgColor rgb="FFBB9B9B"/>
      </patternFill>
    </fill>
    <fill>
      <patternFill patternType="solid">
        <fgColor rgb="FFC54545"/>
        <bgColor rgb="FFC54545"/>
      </patternFill>
    </fill>
    <fill>
      <patternFill patternType="solid">
        <fgColor rgb="FF81395D"/>
        <bgColor rgb="FF81395D"/>
      </patternFill>
    </fill>
    <fill>
      <patternFill patternType="solid">
        <fgColor rgb="FFC44D4D"/>
        <bgColor rgb="FFC44D4D"/>
      </patternFill>
    </fill>
    <fill>
      <patternFill patternType="solid">
        <fgColor rgb="FFC34F4F"/>
        <bgColor rgb="FFC34F4F"/>
      </patternFill>
    </fill>
    <fill>
      <patternFill patternType="solid">
        <fgColor rgb="FFBE8282"/>
        <bgColor rgb="FFBE8282"/>
      </patternFill>
    </fill>
    <fill>
      <patternFill patternType="solid">
        <fgColor rgb="FFD19C75"/>
        <bgColor rgb="FFD19C75"/>
      </patternFill>
    </fill>
    <fill>
      <patternFill patternType="solid">
        <fgColor rgb="FFA18392"/>
        <bgColor rgb="FFA18392"/>
      </patternFill>
    </fill>
    <fill>
      <patternFill patternType="solid">
        <fgColor rgb="FFC54343"/>
        <bgColor rgb="FFC54343"/>
      </patternFill>
    </fill>
    <fill>
      <patternFill patternType="solid">
        <fgColor rgb="FFCA1313"/>
        <bgColor rgb="FFCA1313"/>
      </patternFill>
    </fill>
    <fill>
      <patternFill patternType="solid">
        <fgColor rgb="FFC35050"/>
        <bgColor rgb="FFC35050"/>
      </patternFill>
    </fill>
    <fill>
      <patternFill patternType="solid">
        <fgColor rgb="FFC5A892"/>
        <bgColor rgb="FFC5A892"/>
      </patternFill>
    </fill>
    <fill>
      <patternFill patternType="solid">
        <fgColor rgb="FFC44848"/>
        <bgColor rgb="FFC44848"/>
      </patternFill>
    </fill>
    <fill>
      <patternFill patternType="solid">
        <fgColor rgb="FFBF7272"/>
        <bgColor rgb="FFBF7272"/>
      </patternFill>
    </fill>
    <fill>
      <patternFill patternType="solid">
        <fgColor rgb="FFB8B6B6"/>
        <bgColor rgb="FFB8B6B6"/>
      </patternFill>
    </fill>
    <fill>
      <patternFill patternType="solid">
        <fgColor rgb="FFC06E6E"/>
        <bgColor rgb="FFC06E6E"/>
      </patternFill>
    </fill>
    <fill>
      <patternFill patternType="solid">
        <fgColor rgb="FFC15F5F"/>
        <bgColor rgb="FFC15F5F"/>
      </patternFill>
    </fill>
    <fill>
      <patternFill patternType="solid">
        <fgColor rgb="FF926179"/>
        <bgColor rgb="FF926179"/>
      </patternFill>
    </fill>
    <fill>
      <patternFill patternType="solid">
        <fgColor rgb="FFA8AEB4"/>
        <bgColor rgb="FFA8AEB4"/>
      </patternFill>
    </fill>
    <fill>
      <patternFill patternType="solid">
        <fgColor rgb="FF6386A6"/>
        <bgColor rgb="FF6386A6"/>
      </patternFill>
    </fill>
    <fill>
      <patternFill patternType="solid">
        <fgColor rgb="FF9D7A8B"/>
        <bgColor rgb="FF9D7A8B"/>
      </patternFill>
    </fill>
    <fill>
      <patternFill patternType="solid">
        <fgColor rgb="FF236199"/>
        <bgColor rgb="FF236199"/>
      </patternFill>
    </fill>
    <fill>
      <patternFill patternType="solid">
        <fgColor rgb="FF8A4D6B"/>
        <bgColor rgb="FF8A4D6B"/>
      </patternFill>
    </fill>
    <fill>
      <patternFill patternType="solid">
        <fgColor rgb="FFC16666"/>
        <bgColor rgb="FFC16666"/>
      </patternFill>
    </fill>
    <fill>
      <patternFill patternType="solid">
        <fgColor rgb="FFBCB2AA"/>
        <bgColor rgb="FFBCB2AA"/>
      </patternFill>
    </fill>
    <fill>
      <patternFill patternType="solid">
        <fgColor rgb="FFA68F9A"/>
        <bgColor rgb="FFA68F9A"/>
      </patternFill>
    </fill>
    <fill>
      <patternFill patternType="solid">
        <fgColor rgb="FF9EA9B2"/>
        <bgColor rgb="FF9EA9B2"/>
      </patternFill>
    </fill>
    <fill>
      <patternFill patternType="solid">
        <fgColor rgb="FF30689B"/>
        <bgColor rgb="FF30689B"/>
      </patternFill>
    </fill>
    <fill>
      <patternFill patternType="solid">
        <fgColor rgb="FF5A81A5"/>
        <bgColor rgb="FF5A81A5"/>
      </patternFill>
    </fill>
    <fill>
      <patternFill patternType="solid">
        <fgColor rgb="FFC72F2F"/>
        <bgColor rgb="FFC72F2F"/>
      </patternFill>
    </fill>
    <fill>
      <patternFill patternType="solid">
        <fgColor rgb="FFC72C2C"/>
        <bgColor rgb="FFC72C2C"/>
      </patternFill>
    </fill>
    <fill>
      <patternFill patternType="solid">
        <fgColor rgb="FFB6B5B5"/>
        <bgColor rgb="FFB6B5B5"/>
      </patternFill>
    </fill>
    <fill>
      <patternFill patternType="solid">
        <fgColor rgb="FFB6B5B6"/>
        <bgColor rgb="FFB6B5B6"/>
      </patternFill>
    </fill>
    <fill>
      <patternFill patternType="solid">
        <fgColor rgb="FFC35454"/>
        <bgColor rgb="FFC35454"/>
      </patternFill>
    </fill>
    <fill>
      <patternFill patternType="solid">
        <fgColor rgb="FFDD9056"/>
        <bgColor rgb="FFDD9056"/>
      </patternFill>
    </fill>
    <fill>
      <patternFill patternType="solid">
        <fgColor rgb="FF4B78A1"/>
        <bgColor rgb="FF4B78A1"/>
      </patternFill>
    </fill>
    <fill>
      <patternFill patternType="solid">
        <fgColor rgb="FFB3B5B6"/>
        <bgColor rgb="FFB3B5B6"/>
      </patternFill>
    </fill>
    <fill>
      <patternFill patternType="solid">
        <fgColor rgb="FFA38795"/>
        <bgColor rgb="FFA38795"/>
      </patternFill>
    </fill>
    <fill>
      <patternFill patternType="solid">
        <fgColor rgb="FF7691AA"/>
        <bgColor rgb="FF7691AA"/>
      </patternFill>
    </fill>
    <fill>
      <patternFill patternType="solid">
        <fgColor rgb="FFBF7777"/>
        <bgColor rgb="FFBF7777"/>
      </patternFill>
    </fill>
    <fill>
      <patternFill patternType="solid">
        <fgColor rgb="FF7691A9"/>
        <bgColor rgb="FF7691A9"/>
      </patternFill>
    </fill>
    <fill>
      <patternFill patternType="solid">
        <fgColor rgb="FFADB1B4"/>
        <bgColor rgb="FFADB1B4"/>
      </patternFill>
    </fill>
    <fill>
      <patternFill patternType="solid">
        <fgColor rgb="FFCBA384"/>
        <bgColor rgb="FFCBA384"/>
      </patternFill>
    </fill>
    <fill>
      <patternFill patternType="solid">
        <fgColor rgb="FFAC9DA4"/>
        <bgColor rgb="FFAC9DA4"/>
      </patternFill>
    </fill>
    <fill>
      <patternFill patternType="solid">
        <fgColor rgb="FF92A1B0"/>
        <bgColor rgb="FF92A1B0"/>
      </patternFill>
    </fill>
    <fill>
      <patternFill patternType="solid">
        <fgColor rgb="FFB8B3B3"/>
        <bgColor rgb="FFB8B3B3"/>
      </patternFill>
    </fill>
    <fill>
      <patternFill patternType="solid">
        <fgColor rgb="FF7A94AA"/>
        <bgColor rgb="FF7A94AA"/>
      </patternFill>
    </fill>
    <fill>
      <patternFill patternType="solid">
        <fgColor rgb="FFB99F9F"/>
        <bgColor rgb="FFB99F9F"/>
      </patternFill>
    </fill>
    <fill>
      <patternFill patternType="solid">
        <fgColor rgb="FFC16262"/>
        <bgColor rgb="FFC16262"/>
      </patternFill>
    </fill>
    <fill>
      <patternFill patternType="solid">
        <fgColor rgb="FFA58F9A"/>
        <bgColor rgb="FFA58F9A"/>
      </patternFill>
    </fill>
    <fill>
      <patternFill patternType="solid">
        <fgColor rgb="FF7893AB"/>
        <bgColor rgb="FF7893AB"/>
      </patternFill>
    </fill>
    <fill>
      <patternFill patternType="solid">
        <fgColor rgb="FFB0A5AA"/>
        <bgColor rgb="FFB0A5AA"/>
      </patternFill>
    </fill>
    <fill>
      <patternFill patternType="solid">
        <fgColor rgb="FFB2B4B6"/>
        <bgColor rgb="FFB2B4B6"/>
      </patternFill>
    </fill>
    <fill>
      <patternFill patternType="solid">
        <fgColor rgb="FF4675A0"/>
        <bgColor rgb="FF4675A0"/>
      </patternFill>
    </fill>
    <fill>
      <patternFill patternType="solid">
        <fgColor rgb="FFBAA1A1"/>
        <bgColor rgb="FFBAA1A1"/>
      </patternFill>
    </fill>
    <fill>
      <patternFill patternType="solid">
        <fgColor rgb="FF226098"/>
        <bgColor rgb="FF226098"/>
      </patternFill>
    </fill>
    <fill>
      <patternFill patternType="solid">
        <fgColor rgb="FF31699C"/>
        <bgColor rgb="FF31699C"/>
      </patternFill>
    </fill>
    <fill>
      <patternFill patternType="solid">
        <fgColor rgb="FFA18593"/>
        <bgColor rgb="FFA18593"/>
      </patternFill>
    </fill>
    <fill>
      <patternFill patternType="solid">
        <fgColor rgb="FFA8929D"/>
        <bgColor rgb="FFA8929D"/>
      </patternFill>
    </fill>
    <fill>
      <patternFill patternType="solid">
        <fgColor rgb="FF7A94AB"/>
        <bgColor rgb="FF7A94AB"/>
      </patternFill>
    </fill>
    <fill>
      <patternFill patternType="solid">
        <fgColor rgb="FFA0A9B2"/>
        <bgColor rgb="FFA0A9B2"/>
      </patternFill>
    </fill>
    <fill>
      <patternFill patternType="solid">
        <fgColor rgb="FF6C8CA8"/>
        <bgColor rgb="FF6C8CA8"/>
      </patternFill>
    </fill>
    <fill>
      <patternFill patternType="solid">
        <fgColor rgb="FF889CAE"/>
        <bgColor rgb="FF889CAE"/>
      </patternFill>
    </fill>
    <fill>
      <patternFill patternType="solid">
        <fgColor rgb="FFC2AC9B"/>
        <bgColor rgb="FFC2AC9B"/>
      </patternFill>
    </fill>
    <fill>
      <patternFill patternType="solid">
        <fgColor rgb="FFBAB4B1"/>
        <bgColor rgb="FFBAB4B1"/>
      </patternFill>
    </fill>
    <fill>
      <patternFill patternType="solid">
        <fgColor rgb="FFB4B5B7"/>
        <bgColor rgb="FFB4B5B7"/>
      </patternFill>
    </fill>
    <fill>
      <patternFill patternType="solid">
        <fgColor rgb="FFB0A7AC"/>
        <bgColor rgb="FFB0A7AC"/>
      </patternFill>
    </fill>
    <fill>
      <patternFill patternType="solid">
        <fgColor rgb="FF8499AC"/>
        <bgColor rgb="FF8499AC"/>
      </patternFill>
    </fill>
    <fill>
      <patternFill patternType="solid">
        <fgColor rgb="FF9BA7B1"/>
        <bgColor rgb="FF9BA7B1"/>
      </patternFill>
    </fill>
    <fill>
      <patternFill patternType="solid">
        <fgColor rgb="FFB9A9A9"/>
        <bgColor rgb="FFB9A9A9"/>
      </patternFill>
    </fill>
    <fill>
      <patternFill patternType="solid">
        <fgColor rgb="FFA6909B"/>
        <bgColor rgb="FFA6909B"/>
      </patternFill>
    </fill>
    <fill>
      <patternFill patternType="solid">
        <fgColor rgb="FF4D7AA2"/>
        <bgColor rgb="FF4D7AA2"/>
      </patternFill>
    </fill>
    <fill>
      <patternFill patternType="solid">
        <fgColor rgb="FFB3AEB1"/>
        <bgColor rgb="FFB3AEB1"/>
      </patternFill>
    </fill>
    <fill>
      <patternFill patternType="solid">
        <fgColor rgb="FF8A9DAE"/>
        <bgColor rgb="FF8A9DAE"/>
      </patternFill>
    </fill>
    <fill>
      <patternFill patternType="solid">
        <fgColor rgb="FF6E8DA8"/>
        <bgColor rgb="FF6E8DA8"/>
      </patternFill>
    </fill>
    <fill>
      <patternFill patternType="solid">
        <fgColor rgb="FF1F5F98"/>
        <bgColor rgb="FF1F5F98"/>
      </patternFill>
    </fill>
    <fill>
      <patternFill patternType="solid">
        <fgColor rgb="FF4C79A2"/>
        <bgColor rgb="FF4C79A2"/>
      </patternFill>
    </fill>
    <fill>
      <patternFill patternType="solid">
        <fgColor rgb="FF884A69"/>
        <bgColor rgb="FF884A69"/>
      </patternFill>
    </fill>
  </fills>
  <borders count="18">
    <border/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ck">
        <color rgb="FF00FF00"/>
      </left>
      <right style="thick">
        <color rgb="FF00FF00"/>
      </right>
      <top style="thick">
        <color rgb="FF00FF00"/>
      </top>
      <bottom style="thin">
        <color rgb="FFFFFFFF"/>
      </bottom>
    </border>
    <border>
      <left style="thick">
        <color rgb="FF00FF00"/>
      </left>
      <right style="thick">
        <color rgb="FF00FF00"/>
      </right>
      <top style="thin">
        <color rgb="FFFFFFFF"/>
      </top>
      <bottom style="thin">
        <color rgb="FFFFFFFF"/>
      </bottom>
    </border>
    <border>
      <left style="thick">
        <color rgb="FF00FF00"/>
      </left>
      <right style="thick">
        <color rgb="FF00FF00"/>
      </right>
      <bottom style="thin">
        <color rgb="FFFFFFFF"/>
      </bottom>
    </border>
    <border>
      <left style="thick">
        <color rgb="FF00FF00"/>
      </left>
      <right style="thick">
        <color rgb="FF00FF00"/>
      </right>
      <bottom style="thick">
        <color rgb="FF00FF00"/>
      </bottom>
    </border>
    <border>
      <left style="thick">
        <color rgb="FF00FF00"/>
      </left>
      <right style="thin">
        <color rgb="FFFFFFFF"/>
      </right>
      <top style="thick">
        <color rgb="FF00FF00"/>
      </top>
      <bottom style="thin">
        <color rgb="FFFFFFFF"/>
      </bottom>
    </border>
    <border>
      <top style="thick">
        <color rgb="FF00FF00"/>
      </top>
      <bottom style="thin">
        <color rgb="FFFFFFFF"/>
      </bottom>
    </border>
    <border>
      <left style="thick">
        <color rgb="FF00FF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FF00"/>
      </left>
      <right style="thin">
        <color rgb="FFFFFFFF"/>
      </right>
      <bottom style="thin">
        <color rgb="FFFFFFFF"/>
      </bottom>
    </border>
    <border>
      <left style="thick">
        <color rgb="FF00FF00"/>
      </left>
      <right style="thin">
        <color rgb="FFFFFFFF"/>
      </right>
      <bottom style="thick">
        <color rgb="FF00FF00"/>
      </bottom>
    </border>
    <border>
      <bottom style="thick">
        <color rgb="FF00FF00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6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3" fontId="3" numFmtId="0" xfId="0" applyFill="1" applyFont="1"/>
    <xf borderId="0" fillId="4" fontId="3" numFmtId="0" xfId="0" applyFill="1" applyFont="1"/>
    <xf borderId="0" fillId="5" fontId="3" numFmtId="0" xfId="0" applyFill="1" applyFont="1"/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1" fillId="0" fontId="5" numFmtId="0" xfId="0" applyAlignment="1" applyBorder="1" applyFont="1">
      <alignment vertical="bottom"/>
    </xf>
    <xf borderId="2" fillId="6" fontId="5" numFmtId="0" xfId="0" applyAlignment="1" applyBorder="1" applyFill="1" applyFont="1">
      <alignment vertical="bottom"/>
    </xf>
    <xf borderId="3" fillId="6" fontId="7" numFmtId="0" xfId="0" applyAlignment="1" applyBorder="1" applyFont="1">
      <alignment horizontal="center" vertical="bottom"/>
    </xf>
    <xf borderId="3" fillId="7" fontId="8" numFmtId="0" xfId="0" applyAlignment="1" applyBorder="1" applyFill="1" applyFont="1">
      <alignment horizontal="center" vertical="bottom"/>
    </xf>
    <xf borderId="2" fillId="8" fontId="5" numFmtId="0" xfId="0" applyAlignment="1" applyBorder="1" applyFill="1" applyFont="1">
      <alignment vertical="bottom"/>
    </xf>
    <xf borderId="3" fillId="6" fontId="9" numFmtId="0" xfId="0" applyAlignment="1" applyBorder="1" applyFont="1">
      <alignment horizontal="center" vertical="bottom"/>
    </xf>
    <xf borderId="3" fillId="9" fontId="7" numFmtId="0" xfId="0" applyAlignment="1" applyBorder="1" applyFill="1" applyFont="1">
      <alignment horizontal="center" vertical="bottom"/>
    </xf>
    <xf borderId="3" fillId="10" fontId="7" numFmtId="0" xfId="0" applyAlignment="1" applyBorder="1" applyFill="1" applyFont="1">
      <alignment horizontal="center" vertical="bottom"/>
    </xf>
    <xf borderId="3" fillId="11" fontId="7" numFmtId="0" xfId="0" applyAlignment="1" applyBorder="1" applyFill="1" applyFont="1">
      <alignment horizontal="center" vertical="bottom"/>
    </xf>
    <xf borderId="3" fillId="12" fontId="7" numFmtId="0" xfId="0" applyAlignment="1" applyBorder="1" applyFill="1" applyFont="1">
      <alignment horizontal="center" vertical="bottom"/>
    </xf>
    <xf borderId="3" fillId="13" fontId="7" numFmtId="0" xfId="0" applyAlignment="1" applyBorder="1" applyFill="1" applyFont="1">
      <alignment horizontal="center" vertical="bottom"/>
    </xf>
    <xf borderId="3" fillId="14" fontId="7" numFmtId="0" xfId="0" applyAlignment="1" applyBorder="1" applyFill="1" applyFont="1">
      <alignment horizontal="center" vertical="bottom"/>
    </xf>
    <xf borderId="3" fillId="15" fontId="7" numFmtId="0" xfId="0" applyAlignment="1" applyBorder="1" applyFill="1" applyFont="1">
      <alignment horizontal="center" vertical="bottom"/>
    </xf>
    <xf borderId="3" fillId="16" fontId="7" numFmtId="0" xfId="0" applyAlignment="1" applyBorder="1" applyFill="1" applyFont="1">
      <alignment horizontal="center" vertical="bottom"/>
    </xf>
    <xf borderId="3" fillId="17" fontId="7" numFmtId="0" xfId="0" applyAlignment="1" applyBorder="1" applyFill="1" applyFont="1">
      <alignment horizontal="center" vertical="bottom"/>
    </xf>
    <xf borderId="3" fillId="18" fontId="7" numFmtId="0" xfId="0" applyAlignment="1" applyBorder="1" applyFill="1" applyFont="1">
      <alignment horizontal="center" vertical="bottom"/>
    </xf>
    <xf borderId="3" fillId="19" fontId="7" numFmtId="0" xfId="0" applyAlignment="1" applyBorder="1" applyFill="1" applyFont="1">
      <alignment horizontal="center" vertical="bottom"/>
    </xf>
    <xf borderId="3" fillId="20" fontId="7" numFmtId="0" xfId="0" applyAlignment="1" applyBorder="1" applyFill="1" applyFont="1">
      <alignment horizontal="center" vertical="bottom"/>
    </xf>
    <xf borderId="3" fillId="21" fontId="7" numFmtId="0" xfId="0" applyAlignment="1" applyBorder="1" applyFill="1" applyFont="1">
      <alignment horizontal="center" vertical="bottom"/>
    </xf>
    <xf borderId="3" fillId="22" fontId="7" numFmtId="0" xfId="0" applyAlignment="1" applyBorder="1" applyFill="1" applyFont="1">
      <alignment horizontal="center" vertical="bottom"/>
    </xf>
    <xf borderId="3" fillId="23" fontId="7" numFmtId="0" xfId="0" applyAlignment="1" applyBorder="1" applyFill="1" applyFont="1">
      <alignment horizontal="center" vertical="bottom"/>
    </xf>
    <xf borderId="3" fillId="24" fontId="7" numFmtId="0" xfId="0" applyAlignment="1" applyBorder="1" applyFill="1" applyFont="1">
      <alignment horizontal="center" vertical="bottom"/>
    </xf>
    <xf borderId="3" fillId="25" fontId="7" numFmtId="0" xfId="0" applyAlignment="1" applyBorder="1" applyFill="1" applyFont="1">
      <alignment horizontal="center" vertical="bottom"/>
    </xf>
    <xf borderId="3" fillId="26" fontId="7" numFmtId="0" xfId="0" applyAlignment="1" applyBorder="1" applyFill="1" applyFont="1">
      <alignment horizontal="center" vertical="bottom"/>
    </xf>
    <xf borderId="3" fillId="27" fontId="7" numFmtId="0" xfId="0" applyAlignment="1" applyBorder="1" applyFill="1" applyFont="1">
      <alignment horizontal="center" vertical="bottom"/>
    </xf>
    <xf borderId="3" fillId="28" fontId="7" numFmtId="0" xfId="0" applyAlignment="1" applyBorder="1" applyFill="1" applyFont="1">
      <alignment horizontal="center" vertical="bottom"/>
    </xf>
    <xf borderId="3" fillId="29" fontId="7" numFmtId="0" xfId="0" applyAlignment="1" applyBorder="1" applyFill="1" applyFont="1">
      <alignment horizontal="center" vertical="bottom"/>
    </xf>
    <xf borderId="3" fillId="30" fontId="7" numFmtId="0" xfId="0" applyAlignment="1" applyBorder="1" applyFill="1" applyFont="1">
      <alignment horizontal="center" vertical="bottom"/>
    </xf>
    <xf borderId="3" fillId="31" fontId="7" numFmtId="0" xfId="0" applyAlignment="1" applyBorder="1" applyFill="1" applyFont="1">
      <alignment horizontal="center" vertical="bottom"/>
    </xf>
    <xf borderId="3" fillId="32" fontId="7" numFmtId="0" xfId="0" applyAlignment="1" applyBorder="1" applyFill="1" applyFont="1">
      <alignment horizontal="center" vertical="bottom"/>
    </xf>
    <xf borderId="3" fillId="33" fontId="7" numFmtId="0" xfId="0" applyAlignment="1" applyBorder="1" applyFill="1" applyFont="1">
      <alignment horizontal="center" vertical="bottom"/>
    </xf>
    <xf borderId="3" fillId="34" fontId="7" numFmtId="0" xfId="0" applyAlignment="1" applyBorder="1" applyFill="1" applyFont="1">
      <alignment horizontal="center" vertical="bottom"/>
    </xf>
    <xf borderId="3" fillId="35" fontId="7" numFmtId="0" xfId="0" applyAlignment="1" applyBorder="1" applyFill="1" applyFont="1">
      <alignment horizontal="center" vertical="bottom"/>
    </xf>
    <xf borderId="3" fillId="36" fontId="7" numFmtId="0" xfId="0" applyAlignment="1" applyBorder="1" applyFill="1" applyFont="1">
      <alignment horizontal="center" vertical="bottom"/>
    </xf>
    <xf borderId="3" fillId="37" fontId="7" numFmtId="0" xfId="0" applyAlignment="1" applyBorder="1" applyFill="1" applyFont="1">
      <alignment horizontal="center" vertical="bottom"/>
    </xf>
    <xf borderId="3" fillId="38" fontId="7" numFmtId="0" xfId="0" applyAlignment="1" applyBorder="1" applyFill="1" applyFont="1">
      <alignment horizontal="center" vertical="bottom"/>
    </xf>
    <xf borderId="3" fillId="39" fontId="7" numFmtId="0" xfId="0" applyAlignment="1" applyBorder="1" applyFill="1" applyFont="1">
      <alignment horizontal="center" vertical="bottom"/>
    </xf>
    <xf borderId="3" fillId="40" fontId="7" numFmtId="0" xfId="0" applyAlignment="1" applyBorder="1" applyFill="1" applyFont="1">
      <alignment horizontal="center" vertical="bottom"/>
    </xf>
    <xf borderId="3" fillId="41" fontId="7" numFmtId="0" xfId="0" applyAlignment="1" applyBorder="1" applyFill="1" applyFont="1">
      <alignment horizontal="center" vertical="bottom"/>
    </xf>
    <xf borderId="3" fillId="42" fontId="7" numFmtId="0" xfId="0" applyAlignment="1" applyBorder="1" applyFill="1" applyFont="1">
      <alignment horizontal="center" vertical="bottom"/>
    </xf>
    <xf borderId="3" fillId="43" fontId="7" numFmtId="0" xfId="0" applyAlignment="1" applyBorder="1" applyFill="1" applyFont="1">
      <alignment horizontal="center" vertical="bottom"/>
    </xf>
    <xf borderId="3" fillId="44" fontId="7" numFmtId="0" xfId="0" applyAlignment="1" applyBorder="1" applyFill="1" applyFont="1">
      <alignment horizontal="center" vertical="bottom"/>
    </xf>
    <xf borderId="3" fillId="45" fontId="7" numFmtId="0" xfId="0" applyAlignment="1" applyBorder="1" applyFill="1" applyFont="1">
      <alignment horizontal="center" vertical="bottom"/>
    </xf>
    <xf borderId="3" fillId="46" fontId="7" numFmtId="0" xfId="0" applyAlignment="1" applyBorder="1" applyFill="1" applyFont="1">
      <alignment horizontal="center" vertical="bottom"/>
    </xf>
    <xf borderId="3" fillId="47" fontId="7" numFmtId="0" xfId="0" applyAlignment="1" applyBorder="1" applyFill="1" applyFont="1">
      <alignment horizontal="center" vertical="bottom"/>
    </xf>
    <xf borderId="3" fillId="48" fontId="7" numFmtId="0" xfId="0" applyAlignment="1" applyBorder="1" applyFill="1" applyFont="1">
      <alignment horizontal="center" vertical="bottom"/>
    </xf>
    <xf borderId="3" fillId="49" fontId="7" numFmtId="0" xfId="0" applyAlignment="1" applyBorder="1" applyFill="1" applyFont="1">
      <alignment horizontal="center" vertical="bottom"/>
    </xf>
    <xf borderId="3" fillId="50" fontId="7" numFmtId="0" xfId="0" applyAlignment="1" applyBorder="1" applyFill="1" applyFont="1">
      <alignment horizontal="center" vertical="bottom"/>
    </xf>
    <xf borderId="3" fillId="51" fontId="7" numFmtId="0" xfId="0" applyAlignment="1" applyBorder="1" applyFill="1" applyFont="1">
      <alignment horizontal="center" vertical="bottom"/>
    </xf>
    <xf borderId="3" fillId="52" fontId="7" numFmtId="0" xfId="0" applyAlignment="1" applyBorder="1" applyFill="1" applyFont="1">
      <alignment horizontal="center" vertical="bottom"/>
    </xf>
    <xf borderId="3" fillId="53" fontId="7" numFmtId="0" xfId="0" applyAlignment="1" applyBorder="1" applyFill="1" applyFont="1">
      <alignment horizontal="center" vertical="bottom"/>
    </xf>
    <xf borderId="3" fillId="54" fontId="7" numFmtId="0" xfId="0" applyAlignment="1" applyBorder="1" applyFill="1" applyFont="1">
      <alignment horizontal="center" vertical="bottom"/>
    </xf>
    <xf borderId="3" fillId="55" fontId="7" numFmtId="0" xfId="0" applyAlignment="1" applyBorder="1" applyFill="1" applyFont="1">
      <alignment horizontal="center" vertical="bottom"/>
    </xf>
    <xf borderId="3" fillId="56" fontId="7" numFmtId="0" xfId="0" applyAlignment="1" applyBorder="1" applyFill="1" applyFont="1">
      <alignment horizontal="center" vertical="bottom"/>
    </xf>
    <xf borderId="3" fillId="57" fontId="7" numFmtId="0" xfId="0" applyAlignment="1" applyBorder="1" applyFill="1" applyFont="1">
      <alignment horizontal="center" vertical="bottom"/>
    </xf>
    <xf borderId="3" fillId="58" fontId="7" numFmtId="0" xfId="0" applyAlignment="1" applyBorder="1" applyFill="1" applyFont="1">
      <alignment horizontal="center" vertical="bottom"/>
    </xf>
    <xf borderId="3" fillId="59" fontId="7" numFmtId="0" xfId="0" applyAlignment="1" applyBorder="1" applyFill="1" applyFont="1">
      <alignment horizontal="center" vertical="bottom"/>
    </xf>
    <xf borderId="3" fillId="60" fontId="7" numFmtId="0" xfId="0" applyAlignment="1" applyBorder="1" applyFill="1" applyFont="1">
      <alignment horizontal="center" vertical="bottom"/>
    </xf>
    <xf borderId="3" fillId="61" fontId="7" numFmtId="0" xfId="0" applyAlignment="1" applyBorder="1" applyFill="1" applyFont="1">
      <alignment horizontal="center" vertical="bottom"/>
    </xf>
    <xf borderId="3" fillId="62" fontId="7" numFmtId="0" xfId="0" applyAlignment="1" applyBorder="1" applyFill="1" applyFont="1">
      <alignment horizontal="center" vertical="bottom"/>
    </xf>
    <xf borderId="3" fillId="63" fontId="7" numFmtId="0" xfId="0" applyAlignment="1" applyBorder="1" applyFill="1" applyFont="1">
      <alignment horizontal="center" vertical="bottom"/>
    </xf>
    <xf borderId="3" fillId="64" fontId="7" numFmtId="0" xfId="0" applyAlignment="1" applyBorder="1" applyFill="1" applyFont="1">
      <alignment horizontal="center" vertical="bottom"/>
    </xf>
    <xf borderId="3" fillId="65" fontId="7" numFmtId="0" xfId="0" applyAlignment="1" applyBorder="1" applyFill="1" applyFont="1">
      <alignment horizontal="center" vertical="bottom"/>
    </xf>
    <xf borderId="3" fillId="66" fontId="7" numFmtId="0" xfId="0" applyAlignment="1" applyBorder="1" applyFill="1" applyFont="1">
      <alignment horizontal="center" vertical="bottom"/>
    </xf>
    <xf borderId="3" fillId="67" fontId="7" numFmtId="0" xfId="0" applyAlignment="1" applyBorder="1" applyFill="1" applyFont="1">
      <alignment horizontal="center" vertical="bottom"/>
    </xf>
    <xf borderId="3" fillId="68" fontId="7" numFmtId="0" xfId="0" applyAlignment="1" applyBorder="1" applyFill="1" applyFont="1">
      <alignment horizontal="center" vertical="bottom"/>
    </xf>
    <xf borderId="3" fillId="69" fontId="7" numFmtId="0" xfId="0" applyAlignment="1" applyBorder="1" applyFill="1" applyFont="1">
      <alignment horizontal="center" vertical="bottom"/>
    </xf>
    <xf borderId="3" fillId="70" fontId="7" numFmtId="0" xfId="0" applyAlignment="1" applyBorder="1" applyFill="1" applyFont="1">
      <alignment horizontal="center" vertical="bottom"/>
    </xf>
    <xf borderId="3" fillId="6" fontId="7" numFmtId="0" xfId="0" applyAlignment="1" applyBorder="1" applyFont="1">
      <alignment horizontal="center" vertical="top"/>
    </xf>
    <xf borderId="3" fillId="71" fontId="7" numFmtId="0" xfId="0" applyAlignment="1" applyBorder="1" applyFill="1" applyFont="1">
      <alignment horizontal="center" vertical="bottom"/>
    </xf>
    <xf borderId="3" fillId="72" fontId="7" numFmtId="0" xfId="0" applyAlignment="1" applyBorder="1" applyFill="1" applyFont="1">
      <alignment horizontal="center" vertical="bottom"/>
    </xf>
    <xf borderId="3" fillId="73" fontId="7" numFmtId="0" xfId="0" applyAlignment="1" applyBorder="1" applyFill="1" applyFont="1">
      <alignment horizontal="center" vertical="bottom"/>
    </xf>
    <xf borderId="3" fillId="74" fontId="7" numFmtId="0" xfId="0" applyAlignment="1" applyBorder="1" applyFill="1" applyFont="1">
      <alignment horizontal="center" vertical="bottom"/>
    </xf>
    <xf borderId="3" fillId="75" fontId="7" numFmtId="0" xfId="0" applyAlignment="1" applyBorder="1" applyFill="1" applyFont="1">
      <alignment horizontal="center" vertical="bottom"/>
    </xf>
    <xf borderId="3" fillId="76" fontId="7" numFmtId="0" xfId="0" applyAlignment="1" applyBorder="1" applyFill="1" applyFont="1">
      <alignment horizontal="center" vertical="bottom"/>
    </xf>
    <xf borderId="3" fillId="77" fontId="7" numFmtId="0" xfId="0" applyAlignment="1" applyBorder="1" applyFill="1" applyFont="1">
      <alignment horizontal="center" vertical="bottom"/>
    </xf>
    <xf borderId="3" fillId="78" fontId="7" numFmtId="0" xfId="0" applyAlignment="1" applyBorder="1" applyFill="1" applyFont="1">
      <alignment horizontal="center" vertical="bottom"/>
    </xf>
    <xf borderId="3" fillId="79" fontId="7" numFmtId="0" xfId="0" applyAlignment="1" applyBorder="1" applyFill="1" applyFont="1">
      <alignment horizontal="center" vertical="bottom"/>
    </xf>
    <xf borderId="3" fillId="80" fontId="7" numFmtId="0" xfId="0" applyAlignment="1" applyBorder="1" applyFill="1" applyFont="1">
      <alignment horizontal="center" vertical="bottom"/>
    </xf>
    <xf borderId="3" fillId="81" fontId="7" numFmtId="0" xfId="0" applyAlignment="1" applyBorder="1" applyFill="1" applyFont="1">
      <alignment horizontal="center" vertical="bottom"/>
    </xf>
    <xf borderId="3" fillId="82" fontId="7" numFmtId="0" xfId="0" applyAlignment="1" applyBorder="1" applyFill="1" applyFont="1">
      <alignment horizontal="center" vertical="bottom"/>
    </xf>
    <xf borderId="3" fillId="83" fontId="7" numFmtId="0" xfId="0" applyAlignment="1" applyBorder="1" applyFill="1" applyFont="1">
      <alignment horizontal="center" vertical="bottom"/>
    </xf>
    <xf borderId="3" fillId="84" fontId="7" numFmtId="0" xfId="0" applyAlignment="1" applyBorder="1" applyFill="1" applyFont="1">
      <alignment horizontal="center" vertical="bottom"/>
    </xf>
    <xf borderId="3" fillId="85" fontId="7" numFmtId="0" xfId="0" applyAlignment="1" applyBorder="1" applyFill="1" applyFont="1">
      <alignment horizontal="center" vertical="bottom"/>
    </xf>
    <xf borderId="3" fillId="86" fontId="7" numFmtId="0" xfId="0" applyAlignment="1" applyBorder="1" applyFill="1" applyFont="1">
      <alignment horizontal="center" vertical="bottom"/>
    </xf>
    <xf borderId="3" fillId="87" fontId="7" numFmtId="0" xfId="0" applyAlignment="1" applyBorder="1" applyFill="1" applyFont="1">
      <alignment horizontal="center" vertical="bottom"/>
    </xf>
    <xf borderId="3" fillId="88" fontId="7" numFmtId="0" xfId="0" applyAlignment="1" applyBorder="1" applyFill="1" applyFont="1">
      <alignment horizontal="center" vertical="bottom"/>
    </xf>
    <xf borderId="3" fillId="89" fontId="7" numFmtId="0" xfId="0" applyAlignment="1" applyBorder="1" applyFill="1" applyFont="1">
      <alignment horizontal="center" vertical="bottom"/>
    </xf>
    <xf borderId="3" fillId="90" fontId="7" numFmtId="0" xfId="0" applyAlignment="1" applyBorder="1" applyFill="1" applyFont="1">
      <alignment horizontal="center" vertical="bottom"/>
    </xf>
    <xf borderId="3" fillId="91" fontId="7" numFmtId="0" xfId="0" applyAlignment="1" applyBorder="1" applyFill="1" applyFont="1">
      <alignment horizontal="center" vertical="bottom"/>
    </xf>
    <xf borderId="3" fillId="92" fontId="7" numFmtId="0" xfId="0" applyAlignment="1" applyBorder="1" applyFill="1" applyFont="1">
      <alignment horizontal="center" vertical="bottom"/>
    </xf>
    <xf borderId="3" fillId="93" fontId="7" numFmtId="0" xfId="0" applyAlignment="1" applyBorder="1" applyFill="1" applyFont="1">
      <alignment horizontal="center" vertical="bottom"/>
    </xf>
    <xf borderId="3" fillId="94" fontId="7" numFmtId="0" xfId="0" applyAlignment="1" applyBorder="1" applyFill="1" applyFont="1">
      <alignment horizontal="center" vertical="bottom"/>
    </xf>
    <xf borderId="3" fillId="95" fontId="7" numFmtId="0" xfId="0" applyAlignment="1" applyBorder="1" applyFill="1" applyFont="1">
      <alignment horizontal="center" vertical="bottom"/>
    </xf>
    <xf borderId="3" fillId="96" fontId="7" numFmtId="0" xfId="0" applyAlignment="1" applyBorder="1" applyFill="1" applyFont="1">
      <alignment horizontal="center" vertical="bottom"/>
    </xf>
    <xf borderId="3" fillId="97" fontId="7" numFmtId="0" xfId="0" applyAlignment="1" applyBorder="1" applyFill="1" applyFont="1">
      <alignment horizontal="center" vertical="bottom"/>
    </xf>
    <xf borderId="3" fillId="98" fontId="7" numFmtId="0" xfId="0" applyAlignment="1" applyBorder="1" applyFill="1" applyFont="1">
      <alignment horizontal="center" vertical="bottom"/>
    </xf>
    <xf borderId="3" fillId="99" fontId="7" numFmtId="0" xfId="0" applyAlignment="1" applyBorder="1" applyFill="1" applyFont="1">
      <alignment horizontal="center" vertical="bottom"/>
    </xf>
    <xf borderId="3" fillId="100" fontId="7" numFmtId="0" xfId="0" applyAlignment="1" applyBorder="1" applyFill="1" applyFont="1">
      <alignment horizontal="center" vertical="bottom"/>
    </xf>
    <xf borderId="3" fillId="101" fontId="7" numFmtId="0" xfId="0" applyAlignment="1" applyBorder="1" applyFill="1" applyFont="1">
      <alignment horizontal="center" vertical="bottom"/>
    </xf>
    <xf borderId="3" fillId="102" fontId="7" numFmtId="0" xfId="0" applyAlignment="1" applyBorder="1" applyFill="1" applyFont="1">
      <alignment horizontal="center" vertical="bottom"/>
    </xf>
    <xf borderId="3" fillId="103" fontId="7" numFmtId="0" xfId="0" applyAlignment="1" applyBorder="1" applyFill="1" applyFont="1">
      <alignment horizontal="center" vertical="bottom"/>
    </xf>
    <xf borderId="3" fillId="104" fontId="7" numFmtId="0" xfId="0" applyAlignment="1" applyBorder="1" applyFill="1" applyFont="1">
      <alignment horizontal="center" vertical="bottom"/>
    </xf>
    <xf borderId="3" fillId="3" fontId="7" numFmtId="0" xfId="0" applyAlignment="1" applyBorder="1" applyFont="1">
      <alignment horizontal="center" vertical="bottom"/>
    </xf>
    <xf borderId="3" fillId="105" fontId="7" numFmtId="0" xfId="0" applyAlignment="1" applyBorder="1" applyFill="1" applyFont="1">
      <alignment horizontal="center" vertical="bottom"/>
    </xf>
    <xf borderId="3" fillId="106" fontId="7" numFmtId="0" xfId="0" applyAlignment="1" applyBorder="1" applyFill="1" applyFont="1">
      <alignment horizontal="center" vertical="bottom"/>
    </xf>
    <xf borderId="3" fillId="107" fontId="7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/>
    </xf>
    <xf borderId="0" fillId="0" fontId="11" numFmtId="0" xfId="0" applyFont="1"/>
    <xf borderId="0" fillId="108" fontId="12" numFmtId="0" xfId="0" applyAlignment="1" applyFill="1" applyFont="1">
      <alignment horizontal="left" readingOrder="0"/>
    </xf>
    <xf borderId="0" fillId="0" fontId="11" numFmtId="0" xfId="0" applyAlignment="1" applyFont="1">
      <alignment readingOrder="0"/>
    </xf>
    <xf borderId="0" fillId="0" fontId="13" numFmtId="0" xfId="0" applyAlignment="1" applyFont="1">
      <alignment readingOrder="0"/>
    </xf>
    <xf borderId="4" fillId="6" fontId="5" numFmtId="0" xfId="0" applyAlignment="1" applyBorder="1" applyFont="1">
      <alignment vertical="bottom"/>
    </xf>
    <xf borderId="5" fillId="6" fontId="7" numFmtId="0" xfId="0" applyAlignment="1" applyBorder="1" applyFont="1">
      <alignment horizontal="center" vertical="bottom"/>
    </xf>
    <xf borderId="6" fillId="6" fontId="7" numFmtId="0" xfId="0" applyAlignment="1" applyBorder="1" applyFont="1">
      <alignment horizontal="center" vertical="bottom"/>
    </xf>
    <xf borderId="7" fillId="7" fontId="8" numFmtId="0" xfId="0" applyAlignment="1" applyBorder="1" applyFont="1">
      <alignment horizontal="center" vertical="bottom"/>
    </xf>
    <xf borderId="5" fillId="7" fontId="8" numFmtId="0" xfId="0" applyAlignment="1" applyBorder="1" applyFont="1">
      <alignment horizontal="center" vertical="bottom"/>
    </xf>
    <xf borderId="4" fillId="8" fontId="14" numFmtId="0" xfId="0" applyAlignment="1" applyBorder="1" applyFont="1">
      <alignment vertical="bottom"/>
    </xf>
    <xf borderId="5" fillId="6" fontId="9" numFmtId="0" xfId="0" applyAlignment="1" applyBorder="1" applyFont="1">
      <alignment horizontal="center" vertical="bottom"/>
    </xf>
    <xf borderId="8" fillId="9" fontId="7" numFmtId="0" xfId="0" applyAlignment="1" applyBorder="1" applyFont="1">
      <alignment horizontal="center" vertical="bottom"/>
    </xf>
    <xf borderId="5" fillId="10" fontId="7" numFmtId="0" xfId="0" applyAlignment="1" applyBorder="1" applyFont="1">
      <alignment horizontal="center" vertical="bottom"/>
    </xf>
    <xf borderId="5" fillId="11" fontId="7" numFmtId="0" xfId="0" applyAlignment="1" applyBorder="1" applyFont="1">
      <alignment horizontal="center" vertical="bottom"/>
    </xf>
    <xf borderId="5" fillId="12" fontId="7" numFmtId="0" xfId="0" applyAlignment="1" applyBorder="1" applyFont="1">
      <alignment horizontal="center" vertical="bottom"/>
    </xf>
    <xf borderId="5" fillId="13" fontId="7" numFmtId="0" xfId="0" applyAlignment="1" applyBorder="1" applyFont="1">
      <alignment horizontal="center" vertical="bottom"/>
    </xf>
    <xf borderId="5" fillId="14" fontId="7" numFmtId="0" xfId="0" applyAlignment="1" applyBorder="1" applyFont="1">
      <alignment horizontal="center" vertical="bottom"/>
    </xf>
    <xf borderId="5" fillId="15" fontId="7" numFmtId="0" xfId="0" applyAlignment="1" applyBorder="1" applyFont="1">
      <alignment horizontal="center" vertical="bottom"/>
    </xf>
    <xf borderId="5" fillId="16" fontId="7" numFmtId="0" xfId="0" applyAlignment="1" applyBorder="1" applyFont="1">
      <alignment horizontal="center" vertical="bottom"/>
    </xf>
    <xf borderId="5" fillId="17" fontId="7" numFmtId="0" xfId="0" applyAlignment="1" applyBorder="1" applyFont="1">
      <alignment horizontal="center" vertical="bottom"/>
    </xf>
    <xf borderId="5" fillId="18" fontId="7" numFmtId="0" xfId="0" applyAlignment="1" applyBorder="1" applyFont="1">
      <alignment horizontal="center" vertical="bottom"/>
    </xf>
    <xf borderId="5" fillId="19" fontId="7" numFmtId="0" xfId="0" applyAlignment="1" applyBorder="1" applyFont="1">
      <alignment horizontal="center" vertical="bottom"/>
    </xf>
    <xf borderId="2" fillId="8" fontId="14" numFmtId="0" xfId="0" applyAlignment="1" applyBorder="1" applyFont="1">
      <alignment vertical="bottom"/>
    </xf>
    <xf borderId="1" fillId="6" fontId="7" numFmtId="0" xfId="0" applyAlignment="1" applyBorder="1" applyFont="1">
      <alignment horizontal="center" vertical="bottom"/>
    </xf>
    <xf borderId="9" fillId="12" fontId="7" numFmtId="0" xfId="0" applyAlignment="1" applyBorder="1" applyFont="1">
      <alignment horizontal="center" vertical="bottom"/>
    </xf>
    <xf borderId="9" fillId="20" fontId="7" numFmtId="0" xfId="0" applyAlignment="1" applyBorder="1" applyFont="1">
      <alignment horizontal="center" vertical="bottom"/>
    </xf>
    <xf borderId="9" fillId="42" fontId="7" numFmtId="0" xfId="0" applyAlignment="1" applyBorder="1" applyFont="1">
      <alignment horizontal="center" vertical="bottom"/>
    </xf>
    <xf borderId="9" fillId="61" fontId="7" numFmtId="0" xfId="0" applyAlignment="1" applyBorder="1" applyFont="1">
      <alignment horizontal="center" vertical="bottom"/>
    </xf>
    <xf borderId="9" fillId="32" fontId="7" numFmtId="0" xfId="0" applyAlignment="1" applyBorder="1" applyFont="1">
      <alignment horizontal="center" vertical="bottom"/>
    </xf>
    <xf borderId="3" fillId="109" fontId="7" numFmtId="0" xfId="0" applyAlignment="1" applyBorder="1" applyFill="1" applyFont="1">
      <alignment horizontal="center" vertical="bottom"/>
    </xf>
    <xf borderId="3" fillId="110" fontId="7" numFmtId="0" xfId="0" applyAlignment="1" applyBorder="1" applyFill="1" applyFont="1">
      <alignment horizontal="center" vertical="bottom"/>
    </xf>
    <xf borderId="3" fillId="111" fontId="7" numFmtId="0" xfId="0" applyAlignment="1" applyBorder="1" applyFill="1" applyFont="1">
      <alignment horizontal="center" vertical="bottom"/>
    </xf>
    <xf borderId="3" fillId="112" fontId="7" numFmtId="0" xfId="0" applyAlignment="1" applyBorder="1" applyFill="1" applyFont="1">
      <alignment horizontal="center" vertical="bottom"/>
    </xf>
    <xf borderId="3" fillId="113" fontId="7" numFmtId="0" xfId="0" applyAlignment="1" applyBorder="1" applyFill="1" applyFont="1">
      <alignment horizontal="center" vertical="bottom"/>
    </xf>
    <xf borderId="3" fillId="114" fontId="7" numFmtId="0" xfId="0" applyAlignment="1" applyBorder="1" applyFill="1" applyFont="1">
      <alignment horizontal="center" vertical="bottom"/>
    </xf>
    <xf borderId="9" fillId="115" fontId="7" numFmtId="0" xfId="0" applyAlignment="1" applyBorder="1" applyFill="1" applyFont="1">
      <alignment horizontal="center" vertical="bottom"/>
    </xf>
    <xf borderId="3" fillId="116" fontId="7" numFmtId="0" xfId="0" applyAlignment="1" applyBorder="1" applyFill="1" applyFont="1">
      <alignment horizontal="center" vertical="bottom"/>
    </xf>
    <xf borderId="3" fillId="117" fontId="7" numFmtId="0" xfId="0" applyAlignment="1" applyBorder="1" applyFill="1" applyFont="1">
      <alignment horizontal="center" vertical="bottom"/>
    </xf>
    <xf borderId="3" fillId="118" fontId="7" numFmtId="0" xfId="0" applyAlignment="1" applyBorder="1" applyFill="1" applyFont="1">
      <alignment horizontal="center" vertical="bottom"/>
    </xf>
    <xf borderId="3" fillId="119" fontId="7" numFmtId="0" xfId="0" applyAlignment="1" applyBorder="1" applyFill="1" applyFont="1">
      <alignment horizontal="center" vertical="bottom"/>
    </xf>
    <xf borderId="3" fillId="120" fontId="7" numFmtId="0" xfId="0" applyAlignment="1" applyBorder="1" applyFill="1" applyFont="1">
      <alignment horizontal="center" vertical="bottom"/>
    </xf>
    <xf borderId="3" fillId="121" fontId="7" numFmtId="0" xfId="0" applyAlignment="1" applyBorder="1" applyFill="1" applyFont="1">
      <alignment horizontal="center" vertical="bottom"/>
    </xf>
    <xf borderId="3" fillId="122" fontId="7" numFmtId="0" xfId="0" applyAlignment="1" applyBorder="1" applyFill="1" applyFont="1">
      <alignment horizontal="center" vertical="bottom"/>
    </xf>
    <xf borderId="9" fillId="23" fontId="7" numFmtId="0" xfId="0" applyAlignment="1" applyBorder="1" applyFont="1">
      <alignment horizontal="center" vertical="bottom"/>
    </xf>
    <xf borderId="3" fillId="123" fontId="7" numFmtId="0" xfId="0" applyAlignment="1" applyBorder="1" applyFill="1" applyFont="1">
      <alignment horizontal="center" vertical="bottom"/>
    </xf>
    <xf borderId="3" fillId="124" fontId="7" numFmtId="0" xfId="0" applyAlignment="1" applyBorder="1" applyFill="1" applyFont="1">
      <alignment horizontal="center" vertical="bottom"/>
    </xf>
    <xf borderId="3" fillId="125" fontId="7" numFmtId="0" xfId="0" applyAlignment="1" applyBorder="1" applyFill="1" applyFont="1">
      <alignment horizontal="center" vertical="bottom"/>
    </xf>
    <xf borderId="3" fillId="126" fontId="7" numFmtId="0" xfId="0" applyAlignment="1" applyBorder="1" applyFill="1" applyFont="1">
      <alignment horizontal="center" vertical="bottom"/>
    </xf>
    <xf borderId="3" fillId="127" fontId="7" numFmtId="0" xfId="0" applyAlignment="1" applyBorder="1" applyFill="1" applyFont="1">
      <alignment horizontal="center" vertical="bottom"/>
    </xf>
    <xf borderId="3" fillId="128" fontId="7" numFmtId="0" xfId="0" applyAlignment="1" applyBorder="1" applyFill="1" applyFont="1">
      <alignment horizontal="center" vertical="bottom"/>
    </xf>
    <xf borderId="3" fillId="129" fontId="7" numFmtId="0" xfId="0" applyAlignment="1" applyBorder="1" applyFill="1" applyFont="1">
      <alignment horizontal="center" vertical="bottom"/>
    </xf>
    <xf borderId="3" fillId="130" fontId="7" numFmtId="0" xfId="0" applyAlignment="1" applyBorder="1" applyFill="1" applyFont="1">
      <alignment horizontal="center" vertical="bottom"/>
    </xf>
    <xf borderId="9" fillId="131" fontId="7" numFmtId="0" xfId="0" applyAlignment="1" applyBorder="1" applyFill="1" applyFont="1">
      <alignment horizontal="center" vertical="bottom"/>
    </xf>
    <xf borderId="3" fillId="132" fontId="7" numFmtId="0" xfId="0" applyAlignment="1" applyBorder="1" applyFill="1" applyFont="1">
      <alignment horizontal="center" vertical="bottom"/>
    </xf>
    <xf borderId="3" fillId="133" fontId="7" numFmtId="0" xfId="0" applyAlignment="1" applyBorder="1" applyFill="1" applyFont="1">
      <alignment horizontal="center" vertical="bottom"/>
    </xf>
    <xf borderId="3" fillId="115" fontId="7" numFmtId="0" xfId="0" applyAlignment="1" applyBorder="1" applyFont="1">
      <alignment horizontal="center" vertical="bottom"/>
    </xf>
    <xf borderId="3" fillId="134" fontId="7" numFmtId="0" xfId="0" applyAlignment="1" applyBorder="1" applyFill="1" applyFont="1">
      <alignment horizontal="center" vertical="bottom"/>
    </xf>
    <xf borderId="3" fillId="135" fontId="7" numFmtId="0" xfId="0" applyAlignment="1" applyBorder="1" applyFill="1" applyFont="1">
      <alignment horizontal="center" vertical="bottom"/>
    </xf>
    <xf borderId="3" fillId="136" fontId="7" numFmtId="0" xfId="0" applyAlignment="1" applyBorder="1" applyFill="1" applyFont="1">
      <alignment horizontal="center" vertical="bottom"/>
    </xf>
    <xf borderId="3" fillId="137" fontId="7" numFmtId="0" xfId="0" applyAlignment="1" applyBorder="1" applyFill="1" applyFont="1">
      <alignment horizontal="center" vertical="bottom"/>
    </xf>
    <xf borderId="3" fillId="138" fontId="7" numFmtId="0" xfId="0" applyAlignment="1" applyBorder="1" applyFill="1" applyFont="1">
      <alignment horizontal="center" vertical="bottom"/>
    </xf>
    <xf borderId="9" fillId="139" fontId="7" numFmtId="0" xfId="0" applyAlignment="1" applyBorder="1" applyFill="1" applyFont="1">
      <alignment horizontal="center" vertical="bottom"/>
    </xf>
    <xf borderId="3" fillId="140" fontId="7" numFmtId="0" xfId="0" applyAlignment="1" applyBorder="1" applyFill="1" applyFont="1">
      <alignment horizontal="center" vertical="bottom"/>
    </xf>
    <xf borderId="3" fillId="141" fontId="7" numFmtId="0" xfId="0" applyAlignment="1" applyBorder="1" applyFill="1" applyFont="1">
      <alignment horizontal="center" vertical="bottom"/>
    </xf>
    <xf borderId="3" fillId="142" fontId="7" numFmtId="0" xfId="0" applyAlignment="1" applyBorder="1" applyFill="1" applyFont="1">
      <alignment horizontal="center" vertical="bottom"/>
    </xf>
    <xf borderId="3" fillId="143" fontId="7" numFmtId="0" xfId="0" applyAlignment="1" applyBorder="1" applyFill="1" applyFont="1">
      <alignment horizontal="center" vertical="bottom"/>
    </xf>
    <xf borderId="3" fillId="144" fontId="7" numFmtId="0" xfId="0" applyAlignment="1" applyBorder="1" applyFill="1" applyFont="1">
      <alignment horizontal="center" vertical="bottom"/>
    </xf>
    <xf borderId="3" fillId="145" fontId="7" numFmtId="0" xfId="0" applyAlignment="1" applyBorder="1" applyFill="1" applyFont="1">
      <alignment horizontal="center" vertical="bottom"/>
    </xf>
    <xf borderId="3" fillId="146" fontId="7" numFmtId="0" xfId="0" applyAlignment="1" applyBorder="1" applyFill="1" applyFont="1">
      <alignment horizontal="center" vertical="bottom"/>
    </xf>
    <xf borderId="3" fillId="147" fontId="7" numFmtId="0" xfId="0" applyAlignment="1" applyBorder="1" applyFill="1" applyFont="1">
      <alignment horizontal="center" vertical="bottom"/>
    </xf>
    <xf borderId="3" fillId="148" fontId="7" numFmtId="0" xfId="0" applyAlignment="1" applyBorder="1" applyFill="1" applyFont="1">
      <alignment horizontal="center" vertical="bottom"/>
    </xf>
    <xf borderId="9" fillId="149" fontId="7" numFmtId="0" xfId="0" applyAlignment="1" applyBorder="1" applyFill="1" applyFont="1">
      <alignment horizontal="center" vertical="bottom"/>
    </xf>
    <xf borderId="3" fillId="150" fontId="7" numFmtId="0" xfId="0" applyAlignment="1" applyBorder="1" applyFill="1" applyFont="1">
      <alignment horizontal="center" vertical="bottom"/>
    </xf>
    <xf borderId="3" fillId="151" fontId="7" numFmtId="0" xfId="0" applyAlignment="1" applyBorder="1" applyFill="1" applyFont="1">
      <alignment horizontal="center" vertical="bottom"/>
    </xf>
    <xf borderId="3" fillId="152" fontId="7" numFmtId="0" xfId="0" applyAlignment="1" applyBorder="1" applyFill="1" applyFont="1">
      <alignment horizontal="center" vertical="bottom"/>
    </xf>
    <xf borderId="3" fillId="153" fontId="7" numFmtId="0" xfId="0" applyAlignment="1" applyBorder="1" applyFill="1" applyFont="1">
      <alignment horizontal="center" vertical="bottom"/>
    </xf>
    <xf borderId="3" fillId="154" fontId="7" numFmtId="0" xfId="0" applyAlignment="1" applyBorder="1" applyFill="1" applyFont="1">
      <alignment horizontal="center" vertical="bottom"/>
    </xf>
    <xf borderId="3" fillId="155" fontId="7" numFmtId="0" xfId="0" applyAlignment="1" applyBorder="1" applyFill="1" applyFont="1">
      <alignment horizontal="center" vertical="bottom"/>
    </xf>
    <xf borderId="9" fillId="156" fontId="7" numFmtId="0" xfId="0" applyAlignment="1" applyBorder="1" applyFill="1" applyFont="1">
      <alignment horizontal="center" vertical="bottom"/>
    </xf>
    <xf borderId="3" fillId="157" fontId="7" numFmtId="0" xfId="0" applyAlignment="1" applyBorder="1" applyFill="1" applyFont="1">
      <alignment horizontal="center" vertical="bottom"/>
    </xf>
    <xf borderId="3" fillId="4" fontId="7" numFmtId="0" xfId="0" applyAlignment="1" applyBorder="1" applyFont="1">
      <alignment horizontal="center" vertical="bottom"/>
    </xf>
    <xf borderId="3" fillId="158" fontId="7" numFmtId="0" xfId="0" applyAlignment="1" applyBorder="1" applyFill="1" applyFont="1">
      <alignment horizontal="center" vertical="bottom"/>
    </xf>
    <xf borderId="3" fillId="159" fontId="7" numFmtId="0" xfId="0" applyAlignment="1" applyBorder="1" applyFill="1" applyFont="1">
      <alignment horizontal="center" vertical="bottom"/>
    </xf>
    <xf borderId="3" fillId="160" fontId="7" numFmtId="0" xfId="0" applyAlignment="1" applyBorder="1" applyFill="1" applyFont="1">
      <alignment horizontal="center" vertical="bottom"/>
    </xf>
    <xf borderId="3" fillId="161" fontId="7" numFmtId="0" xfId="0" applyAlignment="1" applyBorder="1" applyFill="1" applyFont="1">
      <alignment horizontal="center" vertical="bottom"/>
    </xf>
    <xf borderId="3" fillId="162" fontId="7" numFmtId="0" xfId="0" applyAlignment="1" applyBorder="1" applyFill="1" applyFont="1">
      <alignment horizontal="center" vertical="bottom"/>
    </xf>
    <xf borderId="3" fillId="163" fontId="7" numFmtId="0" xfId="0" applyAlignment="1" applyBorder="1" applyFill="1" applyFont="1">
      <alignment horizontal="center" vertical="bottom"/>
    </xf>
    <xf borderId="3" fillId="6" fontId="14" numFmtId="0" xfId="0" applyAlignment="1" applyBorder="1" applyFont="1">
      <alignment vertical="bottom"/>
    </xf>
    <xf borderId="1" fillId="6" fontId="7" numFmtId="0" xfId="0" applyAlignment="1" applyBorder="1" applyFont="1">
      <alignment horizontal="center" readingOrder="0" vertical="bottom"/>
    </xf>
    <xf borderId="9" fillId="164" fontId="7" numFmtId="0" xfId="0" applyAlignment="1" applyBorder="1" applyFill="1" applyFont="1">
      <alignment horizontal="center" vertical="bottom"/>
    </xf>
    <xf borderId="3" fillId="165" fontId="7" numFmtId="0" xfId="0" applyAlignment="1" applyBorder="1" applyFill="1" applyFont="1">
      <alignment horizontal="center" vertical="bottom"/>
    </xf>
    <xf borderId="3" fillId="166" fontId="7" numFmtId="0" xfId="0" applyAlignment="1" applyBorder="1" applyFill="1" applyFont="1">
      <alignment horizontal="center" vertical="bottom"/>
    </xf>
    <xf borderId="3" fillId="167" fontId="7" numFmtId="0" xfId="0" applyAlignment="1" applyBorder="1" applyFill="1" applyFont="1">
      <alignment horizontal="center" vertical="bottom"/>
    </xf>
    <xf borderId="3" fillId="168" fontId="7" numFmtId="0" xfId="0" applyAlignment="1" applyBorder="1" applyFill="1" applyFont="1">
      <alignment horizontal="center" vertical="bottom"/>
    </xf>
    <xf borderId="3" fillId="169" fontId="7" numFmtId="0" xfId="0" applyAlignment="1" applyBorder="1" applyFill="1" applyFont="1">
      <alignment horizontal="center" vertical="bottom"/>
    </xf>
    <xf borderId="3" fillId="170" fontId="7" numFmtId="0" xfId="0" applyAlignment="1" applyBorder="1" applyFill="1" applyFont="1">
      <alignment horizontal="center" vertical="bottom"/>
    </xf>
    <xf borderId="3" fillId="171" fontId="7" numFmtId="0" xfId="0" applyAlignment="1" applyBorder="1" applyFill="1" applyFont="1">
      <alignment horizontal="center" vertical="bottom"/>
    </xf>
    <xf borderId="3" fillId="172" fontId="7" numFmtId="0" xfId="0" applyAlignment="1" applyBorder="1" applyFill="1" applyFont="1">
      <alignment horizontal="center" vertical="bottom"/>
    </xf>
    <xf borderId="9" fillId="29" fontId="7" numFmtId="0" xfId="0" applyAlignment="1" applyBorder="1" applyFont="1">
      <alignment horizontal="center" vertical="bottom"/>
    </xf>
    <xf borderId="3" fillId="173" fontId="7" numFmtId="0" xfId="0" applyAlignment="1" applyBorder="1" applyFill="1" applyFont="1">
      <alignment horizontal="center" vertical="bottom"/>
    </xf>
    <xf borderId="3" fillId="174" fontId="7" numFmtId="0" xfId="0" applyAlignment="1" applyBorder="1" applyFill="1" applyFont="1">
      <alignment horizontal="center" vertical="bottom"/>
    </xf>
    <xf borderId="3" fillId="175" fontId="7" numFmtId="0" xfId="0" applyAlignment="1" applyBorder="1" applyFill="1" applyFont="1">
      <alignment horizontal="center" vertical="bottom"/>
    </xf>
    <xf borderId="3" fillId="176" fontId="7" numFmtId="0" xfId="0" applyAlignment="1" applyBorder="1" applyFill="1" applyFont="1">
      <alignment horizontal="center" vertical="bottom"/>
    </xf>
    <xf borderId="3" fillId="177" fontId="7" numFmtId="0" xfId="0" applyAlignment="1" applyBorder="1" applyFill="1" applyFont="1">
      <alignment horizontal="center" vertical="bottom"/>
    </xf>
    <xf borderId="3" fillId="178" fontId="7" numFmtId="0" xfId="0" applyAlignment="1" applyBorder="1" applyFill="1" applyFont="1">
      <alignment horizontal="center" vertical="bottom"/>
    </xf>
    <xf borderId="9" fillId="179" fontId="7" numFmtId="0" xfId="0" applyAlignment="1" applyBorder="1" applyFill="1" applyFont="1">
      <alignment horizontal="center" vertical="bottom"/>
    </xf>
    <xf borderId="3" fillId="180" fontId="7" numFmtId="0" xfId="0" applyAlignment="1" applyBorder="1" applyFill="1" applyFont="1">
      <alignment horizontal="center" vertical="bottom"/>
    </xf>
    <xf borderId="3" fillId="181" fontId="7" numFmtId="0" xfId="0" applyAlignment="1" applyBorder="1" applyFill="1" applyFont="1">
      <alignment horizontal="center" vertical="bottom"/>
    </xf>
    <xf borderId="3" fillId="182" fontId="7" numFmtId="0" xfId="0" applyAlignment="1" applyBorder="1" applyFill="1" applyFont="1">
      <alignment horizontal="center" vertical="bottom"/>
    </xf>
    <xf borderId="3" fillId="183" fontId="7" numFmtId="0" xfId="0" applyAlignment="1" applyBorder="1" applyFill="1" applyFont="1">
      <alignment horizontal="center" vertical="bottom"/>
    </xf>
    <xf borderId="3" fillId="184" fontId="7" numFmtId="0" xfId="0" applyAlignment="1" applyBorder="1" applyFill="1" applyFont="1">
      <alignment horizontal="center" vertical="bottom"/>
    </xf>
    <xf borderId="3" fillId="185" fontId="7" numFmtId="0" xfId="0" applyAlignment="1" applyBorder="1" applyFill="1" applyFont="1">
      <alignment horizontal="center" vertical="bottom"/>
    </xf>
    <xf borderId="3" fillId="186" fontId="7" numFmtId="0" xfId="0" applyAlignment="1" applyBorder="1" applyFill="1" applyFont="1">
      <alignment horizontal="center" vertical="bottom"/>
    </xf>
    <xf borderId="9" fillId="187" fontId="7" numFmtId="0" xfId="0" applyAlignment="1" applyBorder="1" applyFill="1" applyFont="1">
      <alignment horizontal="center" vertical="bottom"/>
    </xf>
    <xf borderId="3" fillId="188" fontId="7" numFmtId="0" xfId="0" applyAlignment="1" applyBorder="1" applyFill="1" applyFont="1">
      <alignment horizontal="center" vertical="bottom"/>
    </xf>
    <xf borderId="3" fillId="189" fontId="7" numFmtId="0" xfId="0" applyAlignment="1" applyBorder="1" applyFill="1" applyFont="1">
      <alignment horizontal="center" vertical="bottom"/>
    </xf>
    <xf borderId="3" fillId="190" fontId="7" numFmtId="0" xfId="0" applyAlignment="1" applyBorder="1" applyFill="1" applyFont="1">
      <alignment horizontal="center" vertical="bottom"/>
    </xf>
    <xf borderId="3" fillId="191" fontId="7" numFmtId="0" xfId="0" applyAlignment="1" applyBorder="1" applyFill="1" applyFont="1">
      <alignment horizontal="center" vertical="bottom"/>
    </xf>
    <xf borderId="3" fillId="192" fontId="7" numFmtId="0" xfId="0" applyAlignment="1" applyBorder="1" applyFill="1" applyFont="1">
      <alignment horizontal="center" vertical="bottom"/>
    </xf>
    <xf borderId="3" fillId="193" fontId="7" numFmtId="0" xfId="0" applyAlignment="1" applyBorder="1" applyFill="1" applyFont="1">
      <alignment horizontal="center" vertical="bottom"/>
    </xf>
    <xf borderId="3" fillId="194" fontId="7" numFmtId="0" xfId="0" applyAlignment="1" applyBorder="1" applyFill="1" applyFont="1">
      <alignment horizontal="center" vertical="bottom"/>
    </xf>
    <xf borderId="3" fillId="195" fontId="7" numFmtId="0" xfId="0" applyAlignment="1" applyBorder="1" applyFill="1" applyFont="1">
      <alignment horizontal="center" vertical="bottom"/>
    </xf>
    <xf borderId="3" fillId="196" fontId="7" numFmtId="0" xfId="0" applyAlignment="1" applyBorder="1" applyFill="1" applyFont="1">
      <alignment horizontal="center" vertical="bottom"/>
    </xf>
    <xf borderId="9" fillId="197" fontId="7" numFmtId="0" xfId="0" applyAlignment="1" applyBorder="1" applyFill="1" applyFont="1">
      <alignment horizontal="center" vertical="bottom"/>
    </xf>
    <xf borderId="3" fillId="198" fontId="7" numFmtId="0" xfId="0" applyAlignment="1" applyBorder="1" applyFill="1" applyFont="1">
      <alignment horizontal="center" vertical="bottom"/>
    </xf>
    <xf borderId="3" fillId="199" fontId="7" numFmtId="0" xfId="0" applyAlignment="1" applyBorder="1" applyFill="1" applyFont="1">
      <alignment horizontal="center" vertical="bottom"/>
    </xf>
    <xf borderId="3" fillId="200" fontId="7" numFmtId="0" xfId="0" applyAlignment="1" applyBorder="1" applyFill="1" applyFont="1">
      <alignment horizontal="center" vertical="bottom"/>
    </xf>
    <xf borderId="3" fillId="201" fontId="7" numFmtId="0" xfId="0" applyAlignment="1" applyBorder="1" applyFill="1" applyFont="1">
      <alignment horizontal="center" vertical="bottom"/>
    </xf>
    <xf borderId="3" fillId="202" fontId="7" numFmtId="0" xfId="0" applyAlignment="1" applyBorder="1" applyFill="1" applyFont="1">
      <alignment horizontal="center" vertical="bottom"/>
    </xf>
    <xf borderId="3" fillId="203" fontId="7" numFmtId="0" xfId="0" applyAlignment="1" applyBorder="1" applyFill="1" applyFont="1">
      <alignment horizontal="center" vertical="bottom"/>
    </xf>
    <xf borderId="3" fillId="204" fontId="7" numFmtId="0" xfId="0" applyAlignment="1" applyBorder="1" applyFill="1" applyFont="1">
      <alignment horizontal="center" vertical="bottom"/>
    </xf>
    <xf borderId="3" fillId="205" fontId="7" numFmtId="0" xfId="0" applyAlignment="1" applyBorder="1" applyFill="1" applyFont="1">
      <alignment horizontal="center" vertical="bottom"/>
    </xf>
    <xf borderId="9" fillId="206" fontId="7" numFmtId="0" xfId="0" applyAlignment="1" applyBorder="1" applyFill="1" applyFont="1">
      <alignment horizontal="center" vertical="bottom"/>
    </xf>
    <xf borderId="3" fillId="207" fontId="7" numFmtId="0" xfId="0" applyAlignment="1" applyBorder="1" applyFill="1" applyFont="1">
      <alignment horizontal="center" vertical="bottom"/>
    </xf>
    <xf borderId="3" fillId="208" fontId="7" numFmtId="0" xfId="0" applyAlignment="1" applyBorder="1" applyFill="1" applyFont="1">
      <alignment horizontal="center" vertical="bottom"/>
    </xf>
    <xf borderId="3" fillId="209" fontId="7" numFmtId="0" xfId="0" applyAlignment="1" applyBorder="1" applyFill="1" applyFont="1">
      <alignment horizontal="center" vertical="bottom"/>
    </xf>
    <xf borderId="3" fillId="210" fontId="7" numFmtId="0" xfId="0" applyAlignment="1" applyBorder="1" applyFill="1" applyFont="1">
      <alignment horizontal="center" vertical="bottom"/>
    </xf>
    <xf borderId="3" fillId="211" fontId="7" numFmtId="0" xfId="0" applyAlignment="1" applyBorder="1" applyFill="1" applyFont="1">
      <alignment horizontal="center" vertical="bottom"/>
    </xf>
    <xf borderId="3" fillId="2" fontId="7" numFmtId="0" xfId="0" applyAlignment="1" applyBorder="1" applyFont="1">
      <alignment horizontal="center" vertical="bottom"/>
    </xf>
    <xf borderId="3" fillId="5" fontId="7" numFmtId="0" xfId="0" applyAlignment="1" applyBorder="1" applyFont="1">
      <alignment horizontal="center" vertical="bottom"/>
    </xf>
    <xf borderId="9" fillId="204" fontId="7" numFmtId="0" xfId="0" applyAlignment="1" applyBorder="1" applyFont="1">
      <alignment horizontal="center" vertical="bottom"/>
    </xf>
    <xf borderId="3" fillId="212" fontId="7" numFmtId="0" xfId="0" applyAlignment="1" applyBorder="1" applyFill="1" applyFont="1">
      <alignment horizontal="center" vertical="bottom"/>
    </xf>
    <xf borderId="3" fillId="213" fontId="7" numFmtId="0" xfId="0" applyAlignment="1" applyBorder="1" applyFill="1" applyFont="1">
      <alignment horizontal="center" vertical="bottom"/>
    </xf>
    <xf borderId="3" fillId="214" fontId="7" numFmtId="0" xfId="0" applyAlignment="1" applyBorder="1" applyFill="1" applyFont="1">
      <alignment horizontal="center" vertical="bottom"/>
    </xf>
    <xf borderId="3" fillId="215" fontId="7" numFmtId="0" xfId="0" applyAlignment="1" applyBorder="1" applyFill="1" applyFont="1">
      <alignment horizontal="center" vertical="bottom"/>
    </xf>
    <xf borderId="3" fillId="216" fontId="7" numFmtId="0" xfId="0" applyAlignment="1" applyBorder="1" applyFill="1" applyFont="1">
      <alignment horizontal="center" vertical="bottom"/>
    </xf>
    <xf borderId="3" fillId="217" fontId="7" numFmtId="0" xfId="0" applyAlignment="1" applyBorder="1" applyFill="1" applyFont="1">
      <alignment horizontal="center" vertical="bottom"/>
    </xf>
    <xf borderId="10" fillId="218" fontId="7" numFmtId="0" xfId="0" applyAlignment="1" applyBorder="1" applyFill="1" applyFont="1">
      <alignment horizontal="center" vertical="bottom"/>
    </xf>
    <xf borderId="3" fillId="219" fontId="7" numFmtId="0" xfId="0" applyAlignment="1" applyBorder="1" applyFill="1" applyFont="1">
      <alignment horizontal="center" vertical="bottom"/>
    </xf>
    <xf borderId="3" fillId="220" fontId="7" numFmtId="0" xfId="0" applyAlignment="1" applyBorder="1" applyFill="1" applyFont="1">
      <alignment horizontal="center" vertical="bottom"/>
    </xf>
    <xf borderId="3" fillId="221" fontId="7" numFmtId="0" xfId="0" applyAlignment="1" applyBorder="1" applyFill="1" applyFont="1">
      <alignment horizontal="center" vertical="bottom"/>
    </xf>
    <xf borderId="3" fillId="222" fontId="7" numFmtId="0" xfId="0" applyAlignment="1" applyBorder="1" applyFill="1" applyFont="1">
      <alignment horizontal="center" vertical="bottom"/>
    </xf>
    <xf borderId="3" fillId="223" fontId="7" numFmtId="0" xfId="0" applyAlignment="1" applyBorder="1" applyFill="1" applyFont="1">
      <alignment horizontal="center" vertical="bottom"/>
    </xf>
    <xf borderId="11" fillId="7" fontId="8" numFmtId="0" xfId="0" applyAlignment="1" applyBorder="1" applyFont="1">
      <alignment horizontal="center" vertical="bottom"/>
    </xf>
    <xf borderId="12" fillId="7" fontId="8" numFmtId="0" xfId="0" applyAlignment="1" applyBorder="1" applyFont="1">
      <alignment horizontal="center" vertical="bottom"/>
    </xf>
    <xf borderId="13" fillId="91" fontId="7" numFmtId="0" xfId="0" applyAlignment="1" applyBorder="1" applyFont="1">
      <alignment horizontal="center" vertical="bottom"/>
    </xf>
    <xf borderId="6" fillId="157" fontId="7" numFmtId="0" xfId="0" applyAlignment="1" applyBorder="1" applyFont="1">
      <alignment horizontal="center" vertical="bottom"/>
    </xf>
    <xf borderId="8" fillId="4" fontId="7" numFmtId="0" xfId="0" applyAlignment="1" applyBorder="1" applyFont="1">
      <alignment horizontal="center" vertical="bottom"/>
    </xf>
    <xf borderId="5" fillId="224" fontId="7" numFmtId="0" xfId="0" applyAlignment="1" applyBorder="1" applyFill="1" applyFont="1">
      <alignment horizontal="center" vertical="bottom"/>
    </xf>
    <xf borderId="5" fillId="131" fontId="7" numFmtId="0" xfId="0" applyAlignment="1" applyBorder="1" applyFont="1">
      <alignment horizontal="center" vertical="bottom"/>
    </xf>
    <xf borderId="5" fillId="159" fontId="7" numFmtId="0" xfId="0" applyAlignment="1" applyBorder="1" applyFont="1">
      <alignment horizontal="center" vertical="bottom"/>
    </xf>
    <xf borderId="5" fillId="225" fontId="7" numFmtId="0" xfId="0" applyAlignment="1" applyBorder="1" applyFill="1" applyFont="1">
      <alignment horizontal="center" vertical="bottom"/>
    </xf>
    <xf borderId="5" fillId="226" fontId="7" numFmtId="0" xfId="0" applyAlignment="1" applyBorder="1" applyFill="1" applyFont="1">
      <alignment horizontal="center" vertical="bottom"/>
    </xf>
    <xf borderId="5" fillId="227" fontId="7" numFmtId="0" xfId="0" applyAlignment="1" applyBorder="1" applyFill="1" applyFont="1">
      <alignment horizontal="center" vertical="bottom"/>
    </xf>
    <xf borderId="5" fillId="163" fontId="7" numFmtId="0" xfId="0" applyAlignment="1" applyBorder="1" applyFont="1">
      <alignment horizontal="center" vertical="bottom"/>
    </xf>
    <xf borderId="5" fillId="6" fontId="14" numFmtId="0" xfId="0" applyAlignment="1" applyBorder="1" applyFont="1">
      <alignment vertical="bottom"/>
    </xf>
    <xf borderId="14" fillId="71" fontId="7" numFmtId="0" xfId="0" applyAlignment="1" applyBorder="1" applyFont="1">
      <alignment horizontal="center" vertical="bottom"/>
    </xf>
    <xf borderId="1" fillId="72" fontId="7" numFmtId="0" xfId="0" applyAlignment="1" applyBorder="1" applyFont="1">
      <alignment horizontal="center" vertical="bottom"/>
    </xf>
    <xf borderId="9" fillId="73" fontId="7" numFmtId="0" xfId="0" applyAlignment="1" applyBorder="1" applyFont="1">
      <alignment horizontal="center" vertical="bottom"/>
    </xf>
    <xf borderId="14" fillId="228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9" fillId="229" fontId="7" numFmtId="0" xfId="0" applyAlignment="1" applyBorder="1" applyFill="1" applyFont="1">
      <alignment horizontal="center" vertical="bottom"/>
    </xf>
    <xf borderId="3" fillId="206" fontId="7" numFmtId="0" xfId="0" applyAlignment="1" applyBorder="1" applyFont="1">
      <alignment horizontal="center" vertical="bottom"/>
    </xf>
    <xf borderId="3" fillId="230" fontId="7" numFmtId="0" xfId="0" applyAlignment="1" applyBorder="1" applyFill="1" applyFont="1">
      <alignment horizontal="center" vertical="bottom"/>
    </xf>
    <xf borderId="3" fillId="231" fontId="7" numFmtId="0" xfId="0" applyAlignment="1" applyBorder="1" applyFill="1" applyFont="1">
      <alignment horizontal="center" vertical="bottom"/>
    </xf>
    <xf borderId="3" fillId="232" fontId="7" numFmtId="0" xfId="0" applyAlignment="1" applyBorder="1" applyFill="1" applyFont="1">
      <alignment horizontal="center" vertical="bottom"/>
    </xf>
    <xf borderId="3" fillId="233" fontId="7" numFmtId="0" xfId="0" applyAlignment="1" applyBorder="1" applyFill="1" applyFont="1">
      <alignment horizontal="center" vertical="bottom"/>
    </xf>
    <xf borderId="3" fillId="234" fontId="7" numFmtId="0" xfId="0" applyAlignment="1" applyBorder="1" applyFill="1" applyFont="1">
      <alignment horizontal="center" vertical="bottom"/>
    </xf>
    <xf borderId="14" fillId="235" fontId="7" numFmtId="0" xfId="0" applyAlignment="1" applyBorder="1" applyFill="1" applyFont="1">
      <alignment horizontal="center" vertical="bottom"/>
    </xf>
    <xf borderId="1" fillId="157" fontId="7" numFmtId="0" xfId="0" applyAlignment="1" applyBorder="1" applyFont="1">
      <alignment horizontal="center" vertical="bottom"/>
    </xf>
    <xf borderId="3" fillId="236" fontId="7" numFmtId="0" xfId="0" applyAlignment="1" applyBorder="1" applyFill="1" applyFont="1">
      <alignment horizontal="center" vertical="bottom"/>
    </xf>
    <xf borderId="3" fillId="237" fontId="7" numFmtId="0" xfId="0" applyAlignment="1" applyBorder="1" applyFill="1" applyFont="1">
      <alignment horizontal="center" vertical="bottom"/>
    </xf>
    <xf borderId="3" fillId="238" fontId="7" numFmtId="0" xfId="0" applyAlignment="1" applyBorder="1" applyFill="1" applyFont="1">
      <alignment horizontal="center" vertical="bottom"/>
    </xf>
    <xf borderId="3" fillId="239" fontId="7" numFmtId="0" xfId="0" applyAlignment="1" applyBorder="1" applyFill="1" applyFont="1">
      <alignment horizontal="center" vertical="bottom"/>
    </xf>
    <xf borderId="3" fillId="240" fontId="7" numFmtId="0" xfId="0" applyAlignment="1" applyBorder="1" applyFill="1" applyFont="1">
      <alignment horizontal="center" vertical="bottom"/>
    </xf>
    <xf borderId="1" fillId="241" fontId="7" numFmtId="0" xfId="0" applyAlignment="1" applyBorder="1" applyFill="1" applyFont="1">
      <alignment horizontal="center" vertical="bottom"/>
    </xf>
    <xf borderId="9" fillId="242" fontId="7" numFmtId="0" xfId="0" applyAlignment="1" applyBorder="1" applyFill="1" applyFont="1">
      <alignment horizontal="center" vertical="bottom"/>
    </xf>
    <xf borderId="3" fillId="243" fontId="7" numFmtId="0" xfId="0" applyAlignment="1" applyBorder="1" applyFill="1" applyFont="1">
      <alignment horizontal="center" vertical="bottom"/>
    </xf>
    <xf borderId="3" fillId="244" fontId="7" numFmtId="0" xfId="0" applyAlignment="1" applyBorder="1" applyFill="1" applyFont="1">
      <alignment horizontal="center" vertical="bottom"/>
    </xf>
    <xf borderId="3" fillId="235" fontId="7" numFmtId="0" xfId="0" applyAlignment="1" applyBorder="1" applyFont="1">
      <alignment horizontal="center" vertical="bottom"/>
    </xf>
    <xf borderId="14" fillId="245" fontId="7" numFmtId="0" xfId="0" applyAlignment="1" applyBorder="1" applyFill="1" applyFont="1">
      <alignment horizontal="center" vertical="bottom"/>
    </xf>
    <xf borderId="9" fillId="246" fontId="7" numFmtId="0" xfId="0" applyAlignment="1" applyBorder="1" applyFill="1" applyFont="1">
      <alignment horizontal="center" vertical="bottom"/>
    </xf>
    <xf borderId="3" fillId="247" fontId="7" numFmtId="0" xfId="0" applyAlignment="1" applyBorder="1" applyFill="1" applyFont="1">
      <alignment horizontal="center" vertical="bottom"/>
    </xf>
    <xf borderId="3" fillId="248" fontId="7" numFmtId="0" xfId="0" applyAlignment="1" applyBorder="1" applyFill="1" applyFont="1">
      <alignment horizontal="center" vertical="bottom"/>
    </xf>
    <xf borderId="3" fillId="249" fontId="7" numFmtId="0" xfId="0" applyAlignment="1" applyBorder="1" applyFill="1" applyFont="1">
      <alignment horizontal="center" vertical="bottom"/>
    </xf>
    <xf borderId="3" fillId="250" fontId="7" numFmtId="0" xfId="0" applyAlignment="1" applyBorder="1" applyFill="1" applyFont="1">
      <alignment horizontal="center" vertical="bottom"/>
    </xf>
    <xf borderId="3" fillId="251" fontId="7" numFmtId="0" xfId="0" applyAlignment="1" applyBorder="1" applyFill="1" applyFont="1">
      <alignment horizontal="center" vertical="bottom"/>
    </xf>
    <xf borderId="3" fillId="252" fontId="7" numFmtId="0" xfId="0" applyAlignment="1" applyBorder="1" applyFill="1" applyFont="1">
      <alignment horizontal="center" vertical="bottom"/>
    </xf>
    <xf borderId="3" fillId="253" fontId="7" numFmtId="0" xfId="0" applyAlignment="1" applyBorder="1" applyFill="1" applyFont="1">
      <alignment horizontal="center" vertical="bottom"/>
    </xf>
    <xf borderId="14" fillId="164" fontId="7" numFmtId="0" xfId="0" applyAlignment="1" applyBorder="1" applyFont="1">
      <alignment horizontal="center" vertical="bottom"/>
    </xf>
    <xf borderId="1" fillId="254" fontId="7" numFmtId="0" xfId="0" applyAlignment="1" applyBorder="1" applyFill="1" applyFont="1">
      <alignment horizontal="center" vertical="bottom"/>
    </xf>
    <xf borderId="9" fillId="255" fontId="7" numFmtId="0" xfId="0" applyAlignment="1" applyBorder="1" applyFill="1" applyFont="1">
      <alignment horizontal="center" vertical="bottom"/>
    </xf>
    <xf borderId="3" fillId="256" fontId="7" numFmtId="0" xfId="0" applyAlignment="1" applyBorder="1" applyFill="1" applyFont="1">
      <alignment horizontal="center" vertical="bottom"/>
    </xf>
    <xf borderId="3" fillId="257" fontId="7" numFmtId="0" xfId="0" applyAlignment="1" applyBorder="1" applyFill="1" applyFont="1">
      <alignment horizontal="center" vertical="bottom"/>
    </xf>
    <xf borderId="3" fillId="258" fontId="7" numFmtId="0" xfId="0" applyAlignment="1" applyBorder="1" applyFill="1" applyFont="1">
      <alignment horizontal="center" vertical="bottom"/>
    </xf>
    <xf borderId="3" fillId="259" fontId="7" numFmtId="0" xfId="0" applyAlignment="1" applyBorder="1" applyFill="1" applyFont="1">
      <alignment horizontal="center" vertical="bottom"/>
    </xf>
    <xf borderId="3" fillId="260" fontId="7" numFmtId="0" xfId="0" applyAlignment="1" applyBorder="1" applyFill="1" applyFont="1">
      <alignment horizontal="center" vertical="bottom"/>
    </xf>
    <xf borderId="14" fillId="16" fontId="7" numFmtId="0" xfId="0" applyAlignment="1" applyBorder="1" applyFont="1">
      <alignment horizontal="center" vertical="bottom"/>
    </xf>
    <xf borderId="1" fillId="261" fontId="7" numFmtId="0" xfId="0" applyAlignment="1" applyBorder="1" applyFill="1" applyFont="1">
      <alignment horizontal="center" vertical="bottom"/>
    </xf>
    <xf borderId="9" fillId="262" fontId="7" numFmtId="0" xfId="0" applyAlignment="1" applyBorder="1" applyFill="1" applyFont="1">
      <alignment horizontal="center" vertical="bottom"/>
    </xf>
    <xf borderId="3" fillId="263" fontId="7" numFmtId="0" xfId="0" applyAlignment="1" applyBorder="1" applyFill="1" applyFont="1">
      <alignment horizontal="center" vertical="bottom"/>
    </xf>
    <xf borderId="3" fillId="264" fontId="7" numFmtId="0" xfId="0" applyAlignment="1" applyBorder="1" applyFill="1" applyFont="1">
      <alignment horizontal="center" vertical="bottom"/>
    </xf>
    <xf borderId="14" fillId="265" fontId="7" numFmtId="0" xfId="0" applyAlignment="1" applyBorder="1" applyFill="1" applyFont="1">
      <alignment horizontal="center" vertical="bottom"/>
    </xf>
    <xf borderId="1" fillId="266" fontId="7" numFmtId="0" xfId="0" applyAlignment="1" applyBorder="1" applyFill="1" applyFont="1">
      <alignment horizontal="center" vertical="bottom"/>
    </xf>
    <xf borderId="9" fillId="181" fontId="7" numFmtId="0" xfId="0" applyAlignment="1" applyBorder="1" applyFont="1">
      <alignment horizontal="center" vertical="bottom"/>
    </xf>
    <xf borderId="3" fillId="267" fontId="7" numFmtId="0" xfId="0" applyAlignment="1" applyBorder="1" applyFill="1" applyFont="1">
      <alignment horizontal="center" vertical="bottom"/>
    </xf>
    <xf borderId="3" fillId="268" fontId="7" numFmtId="0" xfId="0" applyAlignment="1" applyBorder="1" applyFill="1" applyFont="1">
      <alignment horizontal="center" vertical="bottom"/>
    </xf>
    <xf borderId="1" fillId="269" fontId="7" numFmtId="0" xfId="0" applyAlignment="1" applyBorder="1" applyFill="1" applyFont="1">
      <alignment horizontal="center" vertical="bottom"/>
    </xf>
    <xf borderId="9" fillId="270" fontId="7" numFmtId="0" xfId="0" applyAlignment="1" applyBorder="1" applyFill="1" applyFont="1">
      <alignment horizontal="center" vertical="bottom"/>
    </xf>
    <xf borderId="3" fillId="271" fontId="7" numFmtId="0" xfId="0" applyAlignment="1" applyBorder="1" applyFill="1" applyFont="1">
      <alignment horizontal="center" vertical="bottom"/>
    </xf>
    <xf borderId="3" fillId="272" fontId="7" numFmtId="0" xfId="0" applyAlignment="1" applyBorder="1" applyFill="1" applyFont="1">
      <alignment horizontal="center" vertical="bottom"/>
    </xf>
    <xf borderId="3" fillId="273" fontId="7" numFmtId="0" xfId="0" applyAlignment="1" applyBorder="1" applyFill="1" applyFont="1">
      <alignment horizontal="center" vertical="bottom"/>
    </xf>
    <xf borderId="3" fillId="274" fontId="7" numFmtId="0" xfId="0" applyAlignment="1" applyBorder="1" applyFill="1" applyFont="1">
      <alignment horizontal="center" vertical="bottom"/>
    </xf>
    <xf borderId="3" fillId="275" fontId="7" numFmtId="0" xfId="0" applyAlignment="1" applyBorder="1" applyFill="1" applyFont="1">
      <alignment horizontal="center" vertical="bottom"/>
    </xf>
    <xf borderId="14" fillId="37" fontId="7" numFmtId="0" xfId="0" applyAlignment="1" applyBorder="1" applyFont="1">
      <alignment horizontal="center" vertical="bottom"/>
    </xf>
    <xf borderId="1" fillId="276" fontId="7" numFmtId="0" xfId="0" applyAlignment="1" applyBorder="1" applyFill="1" applyFont="1">
      <alignment horizontal="center" vertical="bottom"/>
    </xf>
    <xf borderId="9" fillId="277" fontId="7" numFmtId="0" xfId="0" applyAlignment="1" applyBorder="1" applyFill="1" applyFont="1">
      <alignment horizontal="center" vertical="bottom"/>
    </xf>
    <xf borderId="3" fillId="278" fontId="7" numFmtId="0" xfId="0" applyAlignment="1" applyBorder="1" applyFill="1" applyFont="1">
      <alignment horizontal="center" vertical="bottom"/>
    </xf>
    <xf borderId="3" fillId="279" fontId="7" numFmtId="0" xfId="0" applyAlignment="1" applyBorder="1" applyFill="1" applyFont="1">
      <alignment horizontal="center" vertical="bottom"/>
    </xf>
    <xf borderId="14" fillId="62" fontId="7" numFmtId="0" xfId="0" applyAlignment="1" applyBorder="1" applyFont="1">
      <alignment horizontal="center" vertical="bottom"/>
    </xf>
    <xf borderId="1" fillId="81" fontId="7" numFmtId="0" xfId="0" applyAlignment="1" applyBorder="1" applyFont="1">
      <alignment horizontal="center" vertical="bottom"/>
    </xf>
    <xf borderId="9" fillId="82" fontId="7" numFmtId="0" xfId="0" applyAlignment="1" applyBorder="1" applyFont="1">
      <alignment horizontal="center" vertical="bottom"/>
    </xf>
    <xf borderId="14" fillId="280" fontId="7" numFmtId="0" xfId="0" applyAlignment="1" applyBorder="1" applyFill="1" applyFont="1">
      <alignment horizontal="center" vertical="bottom"/>
    </xf>
    <xf borderId="1" fillId="278" fontId="7" numFmtId="0" xfId="0" applyAlignment="1" applyBorder="1" applyFont="1">
      <alignment horizontal="center" vertical="bottom"/>
    </xf>
    <xf borderId="9" fillId="281" fontId="7" numFmtId="0" xfId="0" applyAlignment="1" applyBorder="1" applyFill="1" applyFont="1">
      <alignment horizontal="center" vertical="bottom"/>
    </xf>
    <xf borderId="3" fillId="282" fontId="7" numFmtId="0" xfId="0" applyAlignment="1" applyBorder="1" applyFill="1" applyFont="1">
      <alignment horizontal="center" vertical="bottom"/>
    </xf>
    <xf borderId="3" fillId="283" fontId="7" numFmtId="0" xfId="0" applyAlignment="1" applyBorder="1" applyFill="1" applyFont="1">
      <alignment horizontal="center" vertical="bottom"/>
    </xf>
    <xf borderId="14" fillId="284" fontId="7" numFmtId="0" xfId="0" applyAlignment="1" applyBorder="1" applyFill="1" applyFont="1">
      <alignment horizontal="center" vertical="bottom"/>
    </xf>
    <xf borderId="9" fillId="285" fontId="7" numFmtId="0" xfId="0" applyAlignment="1" applyBorder="1" applyFill="1" applyFont="1">
      <alignment horizontal="center" vertical="bottom"/>
    </xf>
    <xf borderId="3" fillId="286" fontId="7" numFmtId="0" xfId="0" applyAlignment="1" applyBorder="1" applyFill="1" applyFont="1">
      <alignment horizontal="center" vertical="bottom"/>
    </xf>
    <xf borderId="3" fillId="287" fontId="7" numFmtId="0" xfId="0" applyAlignment="1" applyBorder="1" applyFill="1" applyFont="1">
      <alignment horizontal="center" vertical="bottom"/>
    </xf>
    <xf borderId="3" fillId="288" fontId="7" numFmtId="0" xfId="0" applyAlignment="1" applyBorder="1" applyFill="1" applyFont="1">
      <alignment horizontal="center" vertical="bottom"/>
    </xf>
    <xf borderId="3" fillId="289" fontId="7" numFmtId="0" xfId="0" applyAlignment="1" applyBorder="1" applyFill="1" applyFont="1">
      <alignment horizontal="center" vertical="bottom"/>
    </xf>
    <xf borderId="14" fillId="273" fontId="7" numFmtId="0" xfId="0" applyAlignment="1" applyBorder="1" applyFont="1">
      <alignment horizontal="center" vertical="bottom"/>
    </xf>
    <xf borderId="1" fillId="78" fontId="7" numFmtId="0" xfId="0" applyAlignment="1" applyBorder="1" applyFont="1">
      <alignment horizontal="center" vertical="bottom"/>
    </xf>
    <xf borderId="9" fillId="290" fontId="7" numFmtId="0" xfId="0" applyAlignment="1" applyBorder="1" applyFill="1" applyFont="1">
      <alignment horizontal="center" vertical="bottom"/>
    </xf>
    <xf borderId="3" fillId="179" fontId="7" numFmtId="0" xfId="0" applyAlignment="1" applyBorder="1" applyFont="1">
      <alignment horizontal="center" vertical="bottom"/>
    </xf>
    <xf borderId="3" fillId="291" fontId="7" numFmtId="0" xfId="0" applyAlignment="1" applyBorder="1" applyFill="1" applyFont="1">
      <alignment horizontal="center" vertical="bottom"/>
    </xf>
    <xf borderId="3" fillId="292" fontId="7" numFmtId="0" xfId="0" applyAlignment="1" applyBorder="1" applyFill="1" applyFont="1">
      <alignment horizontal="center" vertical="bottom"/>
    </xf>
    <xf borderId="3" fillId="293" fontId="7" numFmtId="0" xfId="0" applyAlignment="1" applyBorder="1" applyFill="1" applyFont="1">
      <alignment horizontal="center" vertical="bottom"/>
    </xf>
    <xf borderId="14" fillId="294" fontId="7" numFmtId="0" xfId="0" applyAlignment="1" applyBorder="1" applyFill="1" applyFont="1">
      <alignment horizontal="center" vertical="bottom"/>
    </xf>
    <xf borderId="1" fillId="125" fontId="7" numFmtId="0" xfId="0" applyAlignment="1" applyBorder="1" applyFont="1">
      <alignment horizontal="center" vertical="bottom"/>
    </xf>
    <xf borderId="9" fillId="199" fontId="7" numFmtId="0" xfId="0" applyAlignment="1" applyBorder="1" applyFont="1">
      <alignment horizontal="center" vertical="bottom"/>
    </xf>
    <xf borderId="3" fillId="295" fontId="7" numFmtId="0" xfId="0" applyAlignment="1" applyBorder="1" applyFill="1" applyFont="1">
      <alignment horizontal="center" vertical="bottom"/>
    </xf>
    <xf borderId="3" fillId="296" fontId="7" numFmtId="0" xfId="0" applyAlignment="1" applyBorder="1" applyFill="1" applyFont="1">
      <alignment horizontal="center" vertical="bottom"/>
    </xf>
    <xf borderId="3" fillId="297" fontId="7" numFmtId="0" xfId="0" applyAlignment="1" applyBorder="1" applyFill="1" applyFont="1">
      <alignment horizontal="center" vertical="bottom"/>
    </xf>
    <xf borderId="3" fillId="298" fontId="7" numFmtId="0" xfId="0" applyAlignment="1" applyBorder="1" applyFill="1" applyFont="1">
      <alignment horizontal="center" vertical="bottom"/>
    </xf>
    <xf borderId="14" fillId="84" fontId="7" numFmtId="0" xfId="0" applyAlignment="1" applyBorder="1" applyFont="1">
      <alignment horizontal="center" vertical="bottom"/>
    </xf>
    <xf borderId="1" fillId="299" fontId="7" numFmtId="0" xfId="0" applyAlignment="1" applyBorder="1" applyFill="1" applyFont="1">
      <alignment horizontal="center" vertical="bottom"/>
    </xf>
    <xf borderId="9" fillId="300" fontId="7" numFmtId="0" xfId="0" applyAlignment="1" applyBorder="1" applyFill="1" applyFont="1">
      <alignment horizontal="center" vertical="bottom"/>
    </xf>
    <xf borderId="3" fillId="294" fontId="7" numFmtId="0" xfId="0" applyAlignment="1" applyBorder="1" applyFont="1">
      <alignment horizontal="center" vertical="bottom"/>
    </xf>
    <xf borderId="3" fillId="301" fontId="7" numFmtId="0" xfId="0" applyAlignment="1" applyBorder="1" applyFill="1" applyFont="1">
      <alignment horizontal="center" vertical="bottom"/>
    </xf>
    <xf borderId="1" fillId="302" fontId="7" numFmtId="0" xfId="0" applyAlignment="1" applyBorder="1" applyFill="1" applyFont="1">
      <alignment horizontal="center" vertical="bottom"/>
    </xf>
    <xf borderId="9" fillId="303" fontId="7" numFmtId="0" xfId="0" applyAlignment="1" applyBorder="1" applyFill="1" applyFont="1">
      <alignment horizontal="center" vertical="bottom"/>
    </xf>
    <xf borderId="3" fillId="304" fontId="7" numFmtId="0" xfId="0" applyAlignment="1" applyBorder="1" applyFill="1" applyFont="1">
      <alignment horizontal="center" vertical="bottom"/>
    </xf>
    <xf borderId="3" fillId="305" fontId="7" numFmtId="0" xfId="0" applyAlignment="1" applyBorder="1" applyFill="1" applyFont="1">
      <alignment horizontal="center" vertical="bottom"/>
    </xf>
    <xf borderId="3" fillId="306" fontId="7" numFmtId="0" xfId="0" applyAlignment="1" applyBorder="1" applyFill="1" applyFont="1">
      <alignment horizontal="center" vertical="bottom"/>
    </xf>
    <xf borderId="3" fillId="307" fontId="7" numFmtId="0" xfId="0" applyAlignment="1" applyBorder="1" applyFill="1" applyFont="1">
      <alignment horizontal="center" vertical="bottom"/>
    </xf>
    <xf borderId="14" fillId="99" fontId="7" numFmtId="0" xfId="0" applyAlignment="1" applyBorder="1" applyFont="1">
      <alignment horizontal="center" vertical="bottom"/>
    </xf>
    <xf borderId="1" fillId="99" fontId="7" numFmtId="0" xfId="0" applyAlignment="1" applyBorder="1" applyFont="1">
      <alignment horizontal="center" vertical="bottom"/>
    </xf>
    <xf borderId="9" fillId="100" fontId="7" numFmtId="0" xfId="0" applyAlignment="1" applyBorder="1" applyFont="1">
      <alignment horizontal="center" vertical="bottom"/>
    </xf>
    <xf borderId="15" fillId="12" fontId="7" numFmtId="0" xfId="0" applyAlignment="1" applyBorder="1" applyFont="1">
      <alignment horizontal="center" vertical="bottom"/>
    </xf>
    <xf borderId="16" fillId="94" fontId="7" numFmtId="0" xfId="0" applyAlignment="1" applyBorder="1" applyFont="1">
      <alignment horizontal="center" vertical="bottom"/>
    </xf>
    <xf borderId="10" fillId="308" fontId="7" numFmtId="0" xfId="0" applyAlignment="1" applyBorder="1" applyFill="1" applyFont="1">
      <alignment horizontal="center" vertical="bottom"/>
    </xf>
    <xf borderId="3" fillId="131" fontId="7" numFmtId="0" xfId="0" applyAlignment="1" applyBorder="1" applyFont="1">
      <alignment horizontal="center" vertical="bottom"/>
    </xf>
    <xf borderId="3" fillId="309" fontId="7" numFmtId="0" xfId="0" applyAlignment="1" applyBorder="1" applyFill="1" applyFont="1">
      <alignment horizontal="center" vertical="bottom"/>
    </xf>
    <xf borderId="3" fillId="310" fontId="7" numFmtId="0" xfId="0" applyAlignment="1" applyBorder="1" applyFill="1" applyFont="1">
      <alignment horizontal="center" vertical="bottom"/>
    </xf>
    <xf borderId="3" fillId="311" fontId="7" numFmtId="0" xfId="0" applyAlignment="1" applyBorder="1" applyFill="1" applyFont="1">
      <alignment horizontal="center" vertical="bottom"/>
    </xf>
    <xf borderId="3" fillId="312" fontId="7" numFmtId="0" xfId="0" applyAlignment="1" applyBorder="1" applyFill="1" applyFont="1">
      <alignment horizontal="center" vertical="bottom"/>
    </xf>
    <xf borderId="6" fillId="7" fontId="8" numFmtId="0" xfId="0" applyAlignment="1" applyBorder="1" applyFont="1">
      <alignment horizontal="center" vertical="bottom"/>
    </xf>
    <xf borderId="4" fillId="8" fontId="5" numFmtId="0" xfId="0" applyAlignment="1" applyBorder="1" applyFont="1">
      <alignment vertical="bottom"/>
    </xf>
    <xf borderId="6" fillId="161" fontId="7" numFmtId="0" xfId="0" applyAlignment="1" applyBorder="1" applyFont="1">
      <alignment horizontal="center" vertical="bottom"/>
    </xf>
    <xf borderId="8" fillId="313" fontId="7" numFmtId="0" xfId="0" applyAlignment="1" applyBorder="1" applyFill="1" applyFont="1">
      <alignment horizontal="center" vertical="bottom"/>
    </xf>
    <xf borderId="5" fillId="314" fontId="7" numFmtId="0" xfId="0" applyAlignment="1" applyBorder="1" applyFill="1" applyFont="1">
      <alignment horizontal="center" vertical="bottom"/>
    </xf>
    <xf borderId="5" fillId="315" fontId="7" numFmtId="0" xfId="0" applyAlignment="1" applyBorder="1" applyFill="1" applyFont="1">
      <alignment horizontal="center" vertical="bottom"/>
    </xf>
    <xf borderId="5" fillId="316" fontId="7" numFmtId="0" xfId="0" applyAlignment="1" applyBorder="1" applyFill="1" applyFont="1">
      <alignment horizontal="center" vertical="bottom"/>
    </xf>
    <xf borderId="5" fillId="175" fontId="7" numFmtId="0" xfId="0" applyAlignment="1" applyBorder="1" applyFont="1">
      <alignment horizontal="center" vertical="bottom"/>
    </xf>
    <xf borderId="5" fillId="176" fontId="7" numFmtId="0" xfId="0" applyAlignment="1" applyBorder="1" applyFont="1">
      <alignment horizontal="center" vertical="bottom"/>
    </xf>
    <xf borderId="5" fillId="61" fontId="7" numFmtId="0" xfId="0" applyAlignment="1" applyBorder="1" applyFont="1">
      <alignment horizontal="center" vertical="bottom"/>
    </xf>
    <xf borderId="5" fillId="195" fontId="7" numFmtId="0" xfId="0" applyAlignment="1" applyBorder="1" applyFont="1">
      <alignment horizontal="center" vertical="bottom"/>
    </xf>
    <xf borderId="5" fillId="317" fontId="7" numFmtId="0" xfId="0" applyAlignment="1" applyBorder="1" applyFill="1" applyFont="1">
      <alignment horizontal="center" vertical="bottom"/>
    </xf>
    <xf borderId="5" fillId="318" fontId="7" numFmtId="0" xfId="0" applyAlignment="1" applyBorder="1" applyFill="1" applyFont="1">
      <alignment horizontal="center" vertical="bottom"/>
    </xf>
    <xf borderId="5" fillId="178" fontId="7" numFmtId="0" xfId="0" applyAlignment="1" applyBorder="1" applyFont="1">
      <alignment horizontal="center" vertical="bottom"/>
    </xf>
    <xf borderId="1" fillId="162" fontId="7" numFmtId="0" xfId="0" applyAlignment="1" applyBorder="1" applyFont="1">
      <alignment horizontal="center" vertical="bottom"/>
    </xf>
    <xf borderId="9" fillId="35" fontId="7" numFmtId="0" xfId="0" applyAlignment="1" applyBorder="1" applyFont="1">
      <alignment horizontal="center" vertical="bottom"/>
    </xf>
    <xf borderId="3" fillId="319" fontId="7" numFmtId="0" xfId="0" applyAlignment="1" applyBorder="1" applyFill="1" applyFont="1">
      <alignment horizontal="center" vertical="bottom"/>
    </xf>
    <xf borderId="3" fillId="320" fontId="7" numFmtId="0" xfId="0" applyAlignment="1" applyBorder="1" applyFill="1" applyFont="1">
      <alignment horizontal="center" vertical="bottom"/>
    </xf>
    <xf borderId="3" fillId="321" fontId="7" numFmtId="0" xfId="0" applyAlignment="1" applyBorder="1" applyFill="1" applyFont="1">
      <alignment horizontal="center" vertical="bottom"/>
    </xf>
    <xf borderId="3" fillId="322" fontId="7" numFmtId="0" xfId="0" applyAlignment="1" applyBorder="1" applyFill="1" applyFont="1">
      <alignment horizontal="center" vertical="bottom"/>
    </xf>
    <xf borderId="3" fillId="139" fontId="7" numFmtId="0" xfId="0" applyAlignment="1" applyBorder="1" applyFont="1">
      <alignment horizontal="center" vertical="bottom"/>
    </xf>
    <xf borderId="3" fillId="164" fontId="7" numFmtId="0" xfId="0" applyAlignment="1" applyBorder="1" applyFont="1">
      <alignment horizontal="center" vertical="bottom"/>
    </xf>
    <xf borderId="3" fillId="323" fontId="7" numFmtId="0" xfId="0" applyAlignment="1" applyBorder="1" applyFill="1" applyFont="1">
      <alignment horizontal="center" vertical="bottom"/>
    </xf>
    <xf borderId="1" fillId="324" fontId="7" numFmtId="0" xfId="0" applyAlignment="1" applyBorder="1" applyFill="1" applyFont="1">
      <alignment horizontal="center" vertical="bottom"/>
    </xf>
    <xf borderId="9" fillId="325" fontId="7" numFmtId="0" xfId="0" applyAlignment="1" applyBorder="1" applyFill="1" applyFont="1">
      <alignment horizontal="center" vertical="bottom"/>
    </xf>
    <xf borderId="3" fillId="326" fontId="7" numFmtId="0" xfId="0" applyAlignment="1" applyBorder="1" applyFill="1" applyFont="1">
      <alignment horizontal="center" vertical="bottom"/>
    </xf>
    <xf borderId="3" fillId="327" fontId="7" numFmtId="0" xfId="0" applyAlignment="1" applyBorder="1" applyFill="1" applyFont="1">
      <alignment horizontal="center" vertical="bottom"/>
    </xf>
    <xf borderId="3" fillId="328" fontId="7" numFmtId="0" xfId="0" applyAlignment="1" applyBorder="1" applyFill="1" applyFont="1">
      <alignment horizontal="center" vertical="bottom"/>
    </xf>
    <xf borderId="1" fillId="97" fontId="7" numFmtId="0" xfId="0" applyAlignment="1" applyBorder="1" applyFont="1">
      <alignment horizontal="center" vertical="bottom"/>
    </xf>
    <xf borderId="9" fillId="195" fontId="7" numFmtId="0" xfId="0" applyAlignment="1" applyBorder="1" applyFont="1">
      <alignment horizontal="center" vertical="bottom"/>
    </xf>
    <xf borderId="3" fillId="329" fontId="7" numFmtId="0" xfId="0" applyAlignment="1" applyBorder="1" applyFill="1" applyFont="1">
      <alignment horizontal="center" vertical="bottom"/>
    </xf>
    <xf borderId="3" fillId="330" fontId="7" numFmtId="0" xfId="0" applyAlignment="1" applyBorder="1" applyFill="1" applyFont="1">
      <alignment horizontal="center" vertical="bottom"/>
    </xf>
    <xf borderId="3" fillId="331" fontId="7" numFmtId="0" xfId="0" applyAlignment="1" applyBorder="1" applyFill="1" applyFont="1">
      <alignment horizontal="center" vertical="bottom"/>
    </xf>
    <xf borderId="3" fillId="332" fontId="7" numFmtId="0" xfId="0" applyAlignment="1" applyBorder="1" applyFill="1" applyFont="1">
      <alignment horizontal="center" vertical="bottom"/>
    </xf>
    <xf borderId="1" fillId="333" fontId="7" numFmtId="0" xfId="0" applyAlignment="1" applyBorder="1" applyFill="1" applyFont="1">
      <alignment horizontal="center" vertical="bottom"/>
    </xf>
    <xf borderId="3" fillId="334" fontId="7" numFmtId="0" xfId="0" applyAlignment="1" applyBorder="1" applyFill="1" applyFont="1">
      <alignment horizontal="center" vertical="bottom"/>
    </xf>
    <xf borderId="3" fillId="335" fontId="7" numFmtId="0" xfId="0" applyAlignment="1" applyBorder="1" applyFill="1" applyFont="1">
      <alignment horizontal="center" vertical="bottom"/>
    </xf>
    <xf borderId="3" fillId="336" fontId="7" numFmtId="0" xfId="0" applyAlignment="1" applyBorder="1" applyFill="1" applyFont="1">
      <alignment horizontal="center" vertical="bottom"/>
    </xf>
    <xf borderId="1" fillId="31" fontId="7" numFmtId="0" xfId="0" applyAlignment="1" applyBorder="1" applyFont="1">
      <alignment horizontal="center" vertical="bottom"/>
    </xf>
    <xf borderId="1" fillId="12" fontId="7" numFmtId="0" xfId="0" applyAlignment="1" applyBorder="1" applyFont="1">
      <alignment horizontal="center" vertical="bottom"/>
    </xf>
    <xf borderId="9" fillId="94" fontId="7" numFmtId="0" xfId="0" applyAlignment="1" applyBorder="1" applyFont="1">
      <alignment horizontal="center" vertical="bottom"/>
    </xf>
    <xf borderId="3" fillId="308" fontId="7" numFmtId="0" xfId="0" applyAlignment="1" applyBorder="1" applyFont="1">
      <alignment horizontal="center" vertical="bottom"/>
    </xf>
    <xf borderId="3" fillId="6" fontId="7" numFmtId="0" xfId="0" applyAlignment="1" applyBorder="1" applyFont="1">
      <alignment horizontal="center" readingOrder="0" vertical="bottom"/>
    </xf>
    <xf borderId="1" fillId="166" fontId="7" numFmtId="0" xfId="0" applyAlignment="1" applyBorder="1" applyFont="1">
      <alignment horizontal="center" vertical="bottom"/>
    </xf>
    <xf borderId="9" fillId="312" fontId="7" numFmtId="0" xfId="0" applyAlignment="1" applyBorder="1" applyFont="1">
      <alignment horizontal="center" vertical="bottom"/>
    </xf>
    <xf borderId="3" fillId="337" fontId="7" numFmtId="0" xfId="0" applyAlignment="1" applyBorder="1" applyFill="1" applyFont="1">
      <alignment horizontal="center" vertical="bottom"/>
    </xf>
    <xf borderId="3" fillId="338" fontId="7" numFmtId="0" xfId="0" applyAlignment="1" applyBorder="1" applyFill="1" applyFont="1">
      <alignment horizontal="center" vertical="bottom"/>
    </xf>
    <xf borderId="3" fillId="339" fontId="7" numFmtId="0" xfId="0" applyAlignment="1" applyBorder="1" applyFill="1" applyFont="1">
      <alignment horizontal="center" vertical="bottom"/>
    </xf>
    <xf borderId="3" fillId="340" fontId="7" numFmtId="0" xfId="0" applyAlignment="1" applyBorder="1" applyFill="1" applyFont="1">
      <alignment horizontal="center" vertical="bottom"/>
    </xf>
    <xf borderId="3" fillId="341" fontId="7" numFmtId="0" xfId="0" applyAlignment="1" applyBorder="1" applyFill="1" applyFont="1">
      <alignment horizontal="center" vertical="bottom"/>
    </xf>
    <xf borderId="3" fillId="342" fontId="7" numFmtId="0" xfId="0" applyAlignment="1" applyBorder="1" applyFill="1" applyFont="1">
      <alignment horizontal="center" vertical="bottom"/>
    </xf>
    <xf borderId="3" fillId="343" fontId="7" numFmtId="0" xfId="0" applyAlignment="1" applyBorder="1" applyFill="1" applyFont="1">
      <alignment horizontal="center" vertical="bottom"/>
    </xf>
    <xf borderId="1" fillId="311" fontId="7" numFmtId="0" xfId="0" applyAlignment="1" applyBorder="1" applyFont="1">
      <alignment horizontal="center" vertical="bottom"/>
    </xf>
    <xf borderId="9" fillId="96" fontId="7" numFmtId="0" xfId="0" applyAlignment="1" applyBorder="1" applyFont="1">
      <alignment horizontal="center" vertical="bottom"/>
    </xf>
    <xf borderId="3" fillId="344" fontId="7" numFmtId="0" xfId="0" applyAlignment="1" applyBorder="1" applyFill="1" applyFont="1">
      <alignment horizontal="center" vertical="bottom"/>
    </xf>
    <xf borderId="3" fillId="316" fontId="7" numFmtId="0" xfId="0" applyAlignment="1" applyBorder="1" applyFont="1">
      <alignment horizontal="center" vertical="bottom"/>
    </xf>
    <xf borderId="3" fillId="315" fontId="7" numFmtId="0" xfId="0" applyAlignment="1" applyBorder="1" applyFont="1">
      <alignment horizontal="center" vertical="bottom"/>
    </xf>
    <xf borderId="3" fillId="345" fontId="7" numFmtId="0" xfId="0" applyAlignment="1" applyBorder="1" applyFill="1" applyFont="1">
      <alignment horizontal="center" vertical="bottom"/>
    </xf>
    <xf borderId="3" fillId="346" fontId="7" numFmtId="0" xfId="0" applyAlignment="1" applyBorder="1" applyFill="1" applyFont="1">
      <alignment horizontal="center" vertical="bottom"/>
    </xf>
    <xf borderId="1" fillId="67" fontId="7" numFmtId="0" xfId="0" applyAlignment="1" applyBorder="1" applyFont="1">
      <alignment horizontal="center" vertical="bottom"/>
    </xf>
    <xf borderId="9" fillId="91" fontId="7" numFmtId="0" xfId="0" applyAlignment="1" applyBorder="1" applyFont="1">
      <alignment horizontal="center" vertical="bottom"/>
    </xf>
    <xf borderId="1" fillId="347" fontId="7" numFmtId="0" xfId="0" applyAlignment="1" applyBorder="1" applyFill="1" applyFont="1">
      <alignment horizontal="center" vertical="bottom"/>
    </xf>
    <xf borderId="9" fillId="348" fontId="7" numFmtId="0" xfId="0" applyAlignment="1" applyBorder="1" applyFill="1" applyFont="1">
      <alignment horizontal="center" vertical="bottom"/>
    </xf>
    <xf borderId="3" fillId="349" fontId="7" numFmtId="0" xfId="0" applyAlignment="1" applyBorder="1" applyFill="1" applyFont="1">
      <alignment horizontal="center" vertical="bottom"/>
    </xf>
    <xf borderId="3" fillId="350" fontId="7" numFmtId="0" xfId="0" applyAlignment="1" applyBorder="1" applyFill="1" applyFont="1">
      <alignment horizontal="center" vertical="bottom"/>
    </xf>
    <xf borderId="3" fillId="351" fontId="7" numFmtId="0" xfId="0" applyAlignment="1" applyBorder="1" applyFill="1" applyFont="1">
      <alignment horizontal="center" vertical="bottom"/>
    </xf>
    <xf borderId="3" fillId="352" fontId="7" numFmtId="0" xfId="0" applyAlignment="1" applyBorder="1" applyFill="1" applyFont="1">
      <alignment horizontal="center" vertical="bottom"/>
    </xf>
    <xf borderId="3" fillId="353" fontId="7" numFmtId="0" xfId="0" applyAlignment="1" applyBorder="1" applyFill="1" applyFont="1">
      <alignment horizontal="center" vertical="bottom"/>
    </xf>
    <xf borderId="3" fillId="354" fontId="7" numFmtId="0" xfId="0" applyAlignment="1" applyBorder="1" applyFill="1" applyFont="1">
      <alignment horizontal="center" vertical="bottom"/>
    </xf>
    <xf borderId="1" fillId="236" fontId="7" numFmtId="0" xfId="0" applyAlignment="1" applyBorder="1" applyFont="1">
      <alignment horizontal="center" vertical="bottom"/>
    </xf>
    <xf borderId="9" fillId="79" fontId="7" numFmtId="0" xfId="0" applyAlignment="1" applyBorder="1" applyFont="1">
      <alignment horizontal="center" vertical="bottom"/>
    </xf>
    <xf borderId="3" fillId="355" fontId="7" numFmtId="0" xfId="0" applyAlignment="1" applyBorder="1" applyFill="1" applyFont="1">
      <alignment horizontal="center" vertical="bottom"/>
    </xf>
    <xf borderId="3" fillId="356" fontId="7" numFmtId="0" xfId="0" applyAlignment="1" applyBorder="1" applyFill="1" applyFont="1">
      <alignment horizontal="center" vertical="bottom"/>
    </xf>
    <xf borderId="3" fillId="357" fontId="7" numFmtId="0" xfId="0" applyAlignment="1" applyBorder="1" applyFill="1" applyFont="1">
      <alignment horizontal="center" vertical="bottom"/>
    </xf>
    <xf borderId="3" fillId="358" fontId="7" numFmtId="0" xfId="0" applyAlignment="1" applyBorder="1" applyFill="1" applyFont="1">
      <alignment horizontal="center" vertical="bottom"/>
    </xf>
    <xf borderId="3" fillId="359" fontId="7" numFmtId="0" xfId="0" applyAlignment="1" applyBorder="1" applyFill="1" applyFont="1">
      <alignment horizontal="center" vertical="bottom"/>
    </xf>
    <xf borderId="3" fillId="360" fontId="7" numFmtId="0" xfId="0" applyAlignment="1" applyBorder="1" applyFill="1" applyFont="1">
      <alignment horizontal="center" vertical="bottom"/>
    </xf>
    <xf borderId="3" fillId="361" fontId="7" numFmtId="0" xfId="0" applyAlignment="1" applyBorder="1" applyFill="1" applyFont="1">
      <alignment horizontal="center" vertical="bottom"/>
    </xf>
    <xf borderId="1" fillId="362" fontId="7" numFmtId="0" xfId="0" applyAlignment="1" applyBorder="1" applyFill="1" applyFont="1">
      <alignment horizontal="center" vertical="bottom"/>
    </xf>
    <xf borderId="9" fillId="137" fontId="7" numFmtId="0" xfId="0" applyAlignment="1" applyBorder="1" applyFont="1">
      <alignment horizontal="center" vertical="bottom"/>
    </xf>
    <xf borderId="3" fillId="363" fontId="7" numFmtId="0" xfId="0" applyAlignment="1" applyBorder="1" applyFill="1" applyFont="1">
      <alignment horizontal="center" vertical="bottom"/>
    </xf>
    <xf borderId="3" fillId="364" fontId="7" numFmtId="0" xfId="0" applyAlignment="1" applyBorder="1" applyFill="1" applyFont="1">
      <alignment horizontal="center" vertical="bottom"/>
    </xf>
    <xf borderId="3" fillId="365" fontId="7" numFmtId="0" xfId="0" applyAlignment="1" applyBorder="1" applyFill="1" applyFont="1">
      <alignment horizontal="center" vertical="bottom"/>
    </xf>
    <xf borderId="3" fillId="366" fontId="7" numFmtId="0" xfId="0" applyAlignment="1" applyBorder="1" applyFill="1" applyFont="1">
      <alignment horizontal="center" vertical="bottom"/>
    </xf>
    <xf borderId="1" fillId="294" fontId="7" numFmtId="0" xfId="0" applyAlignment="1" applyBorder="1" applyFont="1">
      <alignment horizontal="center" vertical="bottom"/>
    </xf>
    <xf borderId="9" fillId="271" fontId="7" numFmtId="0" xfId="0" applyAlignment="1" applyBorder="1" applyFont="1">
      <alignment horizontal="center" vertical="bottom"/>
    </xf>
    <xf borderId="3" fillId="367" fontId="7" numFmtId="0" xfId="0" applyAlignment="1" applyBorder="1" applyFill="1" applyFont="1">
      <alignment horizontal="center" vertical="bottom"/>
    </xf>
    <xf borderId="3" fillId="368" fontId="7" numFmtId="0" xfId="0" applyAlignment="1" applyBorder="1" applyFill="1" applyFont="1">
      <alignment horizontal="center" vertical="bottom"/>
    </xf>
    <xf borderId="3" fillId="369" fontId="7" numFmtId="0" xfId="0" applyAlignment="1" applyBorder="1" applyFill="1" applyFont="1">
      <alignment horizontal="center" vertical="bottom"/>
    </xf>
    <xf borderId="9" fillId="235" fontId="7" numFmtId="0" xfId="0" applyAlignment="1" applyBorder="1" applyFont="1">
      <alignment horizontal="center" vertical="bottom"/>
    </xf>
    <xf borderId="3" fillId="370" fontId="7" numFmtId="0" xfId="0" applyAlignment="1" applyBorder="1" applyFill="1" applyFont="1">
      <alignment horizontal="center" vertical="bottom"/>
    </xf>
    <xf borderId="3" fillId="371" fontId="7" numFmtId="0" xfId="0" applyAlignment="1" applyBorder="1" applyFill="1" applyFont="1">
      <alignment horizontal="center" vertical="bottom"/>
    </xf>
    <xf borderId="3" fillId="372" fontId="7" numFmtId="0" xfId="0" applyAlignment="1" applyBorder="1" applyFill="1" applyFont="1">
      <alignment horizontal="center" vertical="bottom"/>
    </xf>
    <xf borderId="3" fillId="373" fontId="7" numFmtId="0" xfId="0" applyAlignment="1" applyBorder="1" applyFill="1" applyFont="1">
      <alignment horizontal="center" vertical="bottom"/>
    </xf>
    <xf borderId="3" fillId="374" fontId="7" numFmtId="0" xfId="0" applyAlignment="1" applyBorder="1" applyFill="1" applyFont="1">
      <alignment horizontal="center" vertical="bottom"/>
    </xf>
    <xf borderId="3" fillId="375" fontId="7" numFmtId="0" xfId="0" applyAlignment="1" applyBorder="1" applyFill="1" applyFont="1">
      <alignment horizontal="center" vertical="bottom"/>
    </xf>
    <xf borderId="1" fillId="101" fontId="7" numFmtId="0" xfId="0" applyAlignment="1" applyBorder="1" applyFont="1">
      <alignment horizontal="center" vertical="bottom"/>
    </xf>
    <xf borderId="9" fillId="105" fontId="7" numFmtId="0" xfId="0" applyAlignment="1" applyBorder="1" applyFont="1">
      <alignment horizontal="center" vertical="bottom"/>
    </xf>
    <xf borderId="3" fillId="376" fontId="7" numFmtId="0" xfId="0" applyAlignment="1" applyBorder="1" applyFill="1" applyFont="1">
      <alignment horizontal="center" vertical="bottom"/>
    </xf>
    <xf borderId="3" fillId="377" fontId="7" numFmtId="0" xfId="0" applyAlignment="1" applyBorder="1" applyFill="1" applyFont="1">
      <alignment horizontal="center" vertical="bottom"/>
    </xf>
    <xf borderId="3" fillId="347" fontId="7" numFmtId="0" xfId="0" applyAlignment="1" applyBorder="1" applyFont="1">
      <alignment horizontal="center" vertical="bottom"/>
    </xf>
    <xf borderId="1" fillId="247" fontId="7" numFmtId="0" xfId="0" applyAlignment="1" applyBorder="1" applyFont="1">
      <alignment horizontal="center" vertical="bottom"/>
    </xf>
    <xf borderId="9" fillId="244" fontId="7" numFmtId="0" xfId="0" applyAlignment="1" applyBorder="1" applyFont="1">
      <alignment horizontal="center" vertical="bottom"/>
    </xf>
    <xf borderId="3" fillId="378" fontId="7" numFmtId="0" xfId="0" applyAlignment="1" applyBorder="1" applyFill="1" applyFont="1">
      <alignment horizontal="center" vertical="bottom"/>
    </xf>
    <xf borderId="3" fillId="379" fontId="7" numFmtId="0" xfId="0" applyAlignment="1" applyBorder="1" applyFill="1" applyFont="1">
      <alignment horizontal="center" vertical="bottom"/>
    </xf>
    <xf borderId="3" fillId="380" fontId="7" numFmtId="0" xfId="0" applyAlignment="1" applyBorder="1" applyFill="1" applyFont="1">
      <alignment horizontal="center" vertical="bottom"/>
    </xf>
    <xf borderId="3" fillId="381" fontId="7" numFmtId="0" xfId="0" applyAlignment="1" applyBorder="1" applyFill="1" applyFont="1">
      <alignment horizontal="center" vertical="bottom"/>
    </xf>
    <xf borderId="3" fillId="276" fontId="7" numFmtId="0" xfId="0" applyAlignment="1" applyBorder="1" applyFont="1">
      <alignment horizontal="center" vertical="bottom"/>
    </xf>
    <xf borderId="3" fillId="382" fontId="7" numFmtId="0" xfId="0" applyAlignment="1" applyBorder="1" applyFill="1" applyFont="1">
      <alignment horizontal="center" vertical="bottom"/>
    </xf>
    <xf borderId="1" fillId="383" fontId="7" numFmtId="0" xfId="0" applyAlignment="1" applyBorder="1" applyFill="1" applyFont="1">
      <alignment horizontal="center" vertical="bottom"/>
    </xf>
    <xf borderId="9" fillId="106" fontId="7" numFmtId="0" xfId="0" applyAlignment="1" applyBorder="1" applyFont="1">
      <alignment horizontal="center" vertical="bottom"/>
    </xf>
    <xf borderId="3" fillId="384" fontId="7" numFmtId="0" xfId="0" applyAlignment="1" applyBorder="1" applyFill="1" applyFont="1">
      <alignment horizontal="center" vertical="bottom"/>
    </xf>
    <xf borderId="3" fillId="385" fontId="7" numFmtId="0" xfId="0" applyAlignment="1" applyBorder="1" applyFill="1" applyFont="1">
      <alignment horizontal="center" vertical="bottom"/>
    </xf>
    <xf borderId="3" fillId="386" fontId="7" numFmtId="0" xfId="0" applyAlignment="1" applyBorder="1" applyFill="1" applyFont="1">
      <alignment horizontal="center" vertical="bottom"/>
    </xf>
    <xf borderId="3" fillId="387" fontId="7" numFmtId="0" xfId="0" applyAlignment="1" applyBorder="1" applyFill="1" applyFont="1">
      <alignment horizontal="center" vertical="bottom"/>
    </xf>
    <xf borderId="3" fillId="388" fontId="7" numFmtId="0" xfId="0" applyAlignment="1" applyBorder="1" applyFill="1" applyFont="1">
      <alignment horizontal="center" vertical="bottom"/>
    </xf>
    <xf borderId="3" fillId="389" fontId="7" numFmtId="0" xfId="0" applyAlignment="1" applyBorder="1" applyFill="1" applyFont="1">
      <alignment horizontal="center" vertical="bottom"/>
    </xf>
    <xf borderId="1" fillId="16" fontId="7" numFmtId="0" xfId="0" applyAlignment="1" applyBorder="1" applyFont="1">
      <alignment horizontal="center" vertical="bottom"/>
    </xf>
    <xf borderId="9" fillId="261" fontId="7" numFmtId="0" xfId="0" applyAlignment="1" applyBorder="1" applyFont="1">
      <alignment horizontal="center" vertical="bottom"/>
    </xf>
    <xf borderId="3" fillId="262" fontId="7" numFmtId="0" xfId="0" applyAlignment="1" applyBorder="1" applyFont="1">
      <alignment horizontal="center" vertical="bottom"/>
    </xf>
    <xf borderId="10" fillId="99" fontId="7" numFmtId="0" xfId="0" applyAlignment="1" applyBorder="1" applyFont="1">
      <alignment horizontal="center" vertical="bottom"/>
    </xf>
    <xf borderId="5" fillId="235" fontId="7" numFmtId="0" xfId="0" applyAlignment="1" applyBorder="1" applyFont="1">
      <alignment horizontal="center" vertical="bottom"/>
    </xf>
    <xf borderId="5" fillId="269" fontId="7" numFmtId="0" xfId="0" applyAlignment="1" applyBorder="1" applyFont="1">
      <alignment horizontal="center" vertical="bottom"/>
    </xf>
    <xf borderId="5" fillId="270" fontId="7" numFmtId="0" xfId="0" applyAlignment="1" applyBorder="1" applyFont="1">
      <alignment horizontal="center" vertical="bottom"/>
    </xf>
    <xf borderId="5" fillId="252" fontId="7" numFmtId="0" xfId="0" applyAlignment="1" applyBorder="1" applyFont="1">
      <alignment horizontal="center" vertical="bottom"/>
    </xf>
    <xf borderId="5" fillId="253" fontId="7" numFmtId="0" xfId="0" applyAlignment="1" applyBorder="1" applyFont="1">
      <alignment horizontal="center" vertical="bottom"/>
    </xf>
    <xf borderId="5" fillId="271" fontId="7" numFmtId="0" xfId="0" applyAlignment="1" applyBorder="1" applyFont="1">
      <alignment horizontal="center" vertical="bottom"/>
    </xf>
    <xf borderId="5" fillId="272" fontId="7" numFmtId="0" xfId="0" applyAlignment="1" applyBorder="1" applyFont="1">
      <alignment horizontal="center" vertical="bottom"/>
    </xf>
    <xf borderId="5" fillId="118" fontId="7" numFmtId="0" xfId="0" applyAlignment="1" applyBorder="1" applyFont="1">
      <alignment horizontal="center" vertical="bottom"/>
    </xf>
    <xf borderId="5" fillId="273" fontId="7" numFmtId="0" xfId="0" applyAlignment="1" applyBorder="1" applyFont="1">
      <alignment horizontal="center" vertical="bottom"/>
    </xf>
    <xf borderId="6" fillId="274" fontId="7" numFmtId="0" xfId="0" applyAlignment="1" applyBorder="1" applyFont="1">
      <alignment horizontal="center" vertical="bottom"/>
    </xf>
    <xf borderId="8" fillId="275" fontId="7" numFmtId="0" xfId="0" applyAlignment="1" applyBorder="1" applyFont="1">
      <alignment horizontal="center" vertical="bottom"/>
    </xf>
    <xf borderId="5" fillId="122" fontId="7" numFmtId="0" xfId="0" applyAlignment="1" applyBorder="1" applyFont="1">
      <alignment horizontal="center" vertical="bottom"/>
    </xf>
    <xf borderId="1" fillId="345" fontId="7" numFmtId="0" xfId="0" applyAlignment="1" applyBorder="1" applyFont="1">
      <alignment horizontal="center" vertical="bottom"/>
    </xf>
    <xf borderId="9" fillId="346" fontId="7" numFmtId="0" xfId="0" applyAlignment="1" applyBorder="1" applyFont="1">
      <alignment horizontal="center" vertical="bottom"/>
    </xf>
    <xf borderId="1" fillId="11" fontId="7" numFmtId="0" xfId="0" applyAlignment="1" applyBorder="1" applyFont="1">
      <alignment horizontal="center" vertical="bottom"/>
    </xf>
    <xf borderId="9" fillId="30" fontId="7" numFmtId="0" xfId="0" applyAlignment="1" applyBorder="1" applyFont="1">
      <alignment horizontal="center" vertical="bottom"/>
    </xf>
    <xf borderId="1" fillId="40" fontId="7" numFmtId="0" xfId="0" applyAlignment="1" applyBorder="1" applyFont="1">
      <alignment horizontal="center" vertical="bottom"/>
    </xf>
    <xf borderId="9" fillId="41" fontId="7" numFmtId="0" xfId="0" applyAlignment="1" applyBorder="1" applyFont="1">
      <alignment horizontal="center" vertical="bottom"/>
    </xf>
    <xf borderId="3" fillId="324" fontId="7" numFmtId="0" xfId="0" applyAlignment="1" applyBorder="1" applyFont="1">
      <alignment horizontal="center" vertical="bottom"/>
    </xf>
    <xf borderId="3" fillId="325" fontId="7" numFmtId="0" xfId="0" applyAlignment="1" applyBorder="1" applyFont="1">
      <alignment horizontal="center" vertical="bottom"/>
    </xf>
    <xf borderId="1" fillId="195" fontId="7" numFmtId="0" xfId="0" applyAlignment="1" applyBorder="1" applyFont="1">
      <alignment horizontal="center" vertical="bottom"/>
    </xf>
    <xf borderId="9" fillId="19" fontId="7" numFmtId="0" xfId="0" applyAlignment="1" applyBorder="1" applyFont="1">
      <alignment horizontal="center" vertical="bottom"/>
    </xf>
    <xf borderId="1" fillId="79" fontId="7" numFmtId="0" xfId="0" applyAlignment="1" applyBorder="1" applyFont="1">
      <alignment horizontal="center" vertical="bottom"/>
    </xf>
    <xf borderId="9" fillId="80" fontId="7" numFmtId="0" xfId="0" applyAlignment="1" applyBorder="1" applyFont="1">
      <alignment horizontal="center" vertical="bottom"/>
    </xf>
    <xf borderId="3" fillId="313" fontId="7" numFmtId="0" xfId="0" applyAlignment="1" applyBorder="1" applyFont="1">
      <alignment horizontal="center" vertical="bottom"/>
    </xf>
    <xf borderId="3" fillId="314" fontId="7" numFmtId="0" xfId="0" applyAlignment="1" applyBorder="1" applyFont="1">
      <alignment horizontal="center" vertical="bottom"/>
    </xf>
    <xf borderId="1" fillId="317" fontId="7" numFmtId="0" xfId="0" applyAlignment="1" applyBorder="1" applyFont="1">
      <alignment horizontal="center" vertical="bottom"/>
    </xf>
    <xf borderId="9" fillId="318" fontId="7" numFmtId="0" xfId="0" applyAlignment="1" applyBorder="1" applyFont="1">
      <alignment horizontal="center" vertical="bottom"/>
    </xf>
    <xf borderId="3" fillId="261" fontId="7" numFmtId="0" xfId="0" applyAlignment="1" applyBorder="1" applyFont="1">
      <alignment horizontal="center" vertical="bottom"/>
    </xf>
    <xf borderId="1" fillId="112" fontId="7" numFmtId="0" xfId="0" applyAlignment="1" applyBorder="1" applyFont="1">
      <alignment horizontal="center" vertical="bottom"/>
    </xf>
    <xf borderId="9" fillId="264" fontId="7" numFmtId="0" xfId="0" applyAlignment="1" applyBorder="1" applyFont="1">
      <alignment horizontal="center" vertical="bottom"/>
    </xf>
    <xf borderId="3" fillId="348" fontId="7" numFmtId="0" xfId="0" applyAlignment="1" applyBorder="1" applyFont="1">
      <alignment horizontal="center" vertical="bottom"/>
    </xf>
    <xf borderId="1" fillId="248" fontId="7" numFmtId="0" xfId="0" applyAlignment="1" applyBorder="1" applyFont="1">
      <alignment horizontal="center" vertical="bottom"/>
    </xf>
    <xf borderId="9" fillId="354" fontId="7" numFmtId="0" xfId="0" applyAlignment="1" applyBorder="1" applyFont="1">
      <alignment horizontal="center" vertical="bottom"/>
    </xf>
    <xf borderId="1" fillId="164" fontId="7" numFmtId="0" xfId="0" applyAlignment="1" applyBorder="1" applyFont="1">
      <alignment horizontal="center" vertical="bottom"/>
    </xf>
    <xf borderId="9" fillId="323" fontId="7" numFmtId="0" xfId="0" applyAlignment="1" applyBorder="1" applyFont="1">
      <alignment horizontal="center" vertical="bottom"/>
    </xf>
    <xf borderId="1" fillId="374" fontId="7" numFmtId="0" xfId="0" applyAlignment="1" applyBorder="1" applyFont="1">
      <alignment horizontal="center" vertical="bottom"/>
    </xf>
    <xf borderId="9" fillId="375" fontId="7" numFmtId="0" xfId="0" applyAlignment="1" applyBorder="1" applyFont="1">
      <alignment horizontal="center" vertical="bottom"/>
    </xf>
    <xf borderId="3" fillId="333" fontId="7" numFmtId="0" xfId="0" applyAlignment="1" applyBorder="1" applyFont="1">
      <alignment horizontal="center" vertical="bottom"/>
    </xf>
    <xf borderId="1" fillId="221" fontId="7" numFmtId="0" xfId="0" applyAlignment="1" applyBorder="1" applyFont="1">
      <alignment horizontal="center" vertical="bottom"/>
    </xf>
    <xf borderId="9" fillId="336" fontId="7" numFmtId="0" xfId="0" applyAlignment="1" applyBorder="1" applyFont="1">
      <alignment horizontal="center" vertical="bottom"/>
    </xf>
    <xf borderId="3" fillId="362" fontId="7" numFmtId="0" xfId="0" applyAlignment="1" applyBorder="1" applyFont="1">
      <alignment horizontal="center" vertical="bottom"/>
    </xf>
    <xf borderId="1" fillId="366" fontId="7" numFmtId="0" xfId="0" applyAlignment="1" applyBorder="1" applyFont="1">
      <alignment horizontal="center" vertical="bottom"/>
    </xf>
    <xf borderId="9" fillId="11" fontId="7" numFmtId="0" xfId="0" applyAlignment="1" applyBorder="1" applyFont="1">
      <alignment horizontal="center" vertical="bottom"/>
    </xf>
    <xf borderId="3" fillId="245" fontId="7" numFmtId="0" xfId="0" applyAlignment="1" applyBorder="1" applyFont="1">
      <alignment horizontal="center" vertical="bottom"/>
    </xf>
    <xf borderId="3" fillId="241" fontId="7" numFmtId="0" xfId="0" applyAlignment="1" applyBorder="1" applyFont="1">
      <alignment horizontal="center" vertical="bottom"/>
    </xf>
    <xf borderId="3" fillId="246" fontId="7" numFmtId="0" xfId="0" applyAlignment="1" applyBorder="1" applyFont="1">
      <alignment horizontal="center" vertical="bottom"/>
    </xf>
    <xf borderId="1" fillId="253" fontId="7" numFmtId="0" xfId="0" applyAlignment="1" applyBorder="1" applyFont="1">
      <alignment horizontal="center" vertical="bottom"/>
    </xf>
    <xf borderId="1" fillId="342" fontId="7" numFmtId="0" xfId="0" applyAlignment="1" applyBorder="1" applyFont="1">
      <alignment horizontal="center" vertical="bottom"/>
    </xf>
    <xf borderId="9" fillId="343" fontId="7" numFmtId="0" xfId="0" applyAlignment="1" applyBorder="1" applyFont="1">
      <alignment horizontal="center" vertical="bottom"/>
    </xf>
    <xf borderId="1" fillId="106" fontId="7" numFmtId="0" xfId="0" applyAlignment="1" applyBorder="1" applyFont="1">
      <alignment horizontal="center" vertical="bottom"/>
    </xf>
    <xf borderId="9" fillId="107" fontId="7" numFmtId="0" xfId="0" applyAlignment="1" applyBorder="1" applyFont="1">
      <alignment horizontal="center" vertical="bottom"/>
    </xf>
    <xf borderId="3" fillId="277" fontId="7" numFmtId="0" xfId="0" applyAlignment="1" applyBorder="1" applyFont="1">
      <alignment horizontal="center" vertical="bottom"/>
    </xf>
    <xf borderId="1" fillId="273" fontId="7" numFmtId="0" xfId="0" applyAlignment="1" applyBorder="1" applyFont="1">
      <alignment horizontal="center" vertical="bottom"/>
    </xf>
    <xf borderId="3" fillId="290" fontId="7" numFmtId="0" xfId="0" applyAlignment="1" applyBorder="1" applyFont="1">
      <alignment horizontal="center" vertical="bottom"/>
    </xf>
    <xf borderId="9" fillId="293" fontId="7" numFmtId="0" xfId="0" applyAlignment="1" applyBorder="1" applyFont="1">
      <alignment horizontal="center" vertical="bottom"/>
    </xf>
    <xf borderId="3" fillId="228" fontId="7" numFmtId="0" xfId="0" applyAlignment="1" applyBorder="1" applyFont="1">
      <alignment horizontal="center" vertical="bottom"/>
    </xf>
    <xf borderId="3" fillId="229" fontId="7" numFmtId="0" xfId="0" applyAlignment="1" applyBorder="1" applyFont="1">
      <alignment horizontal="center" vertical="bottom"/>
    </xf>
    <xf borderId="1" fillId="233" fontId="7" numFmtId="0" xfId="0" applyAlignment="1" applyBorder="1" applyFont="1">
      <alignment horizontal="center" vertical="bottom"/>
    </xf>
    <xf borderId="10" fillId="234" fontId="7" numFmtId="0" xfId="0" applyAlignment="1" applyBorder="1" applyFont="1">
      <alignment horizontal="center" vertical="bottom"/>
    </xf>
    <xf borderId="5" fillId="94" fontId="7" numFmtId="0" xfId="0" applyAlignment="1" applyBorder="1" applyFont="1">
      <alignment horizontal="center" vertical="bottom"/>
    </xf>
    <xf borderId="5" fillId="308" fontId="7" numFmtId="0" xfId="0" applyAlignment="1" applyBorder="1" applyFont="1">
      <alignment horizontal="center" vertical="bottom"/>
    </xf>
    <xf borderId="6" fillId="131" fontId="7" numFmtId="0" xfId="0" applyAlignment="1" applyBorder="1" applyFont="1">
      <alignment horizontal="center" vertical="bottom"/>
    </xf>
    <xf borderId="8" fillId="309" fontId="7" numFmtId="0" xfId="0" applyAlignment="1" applyBorder="1" applyFont="1">
      <alignment horizontal="center" vertical="bottom"/>
    </xf>
    <xf borderId="5" fillId="310" fontId="7" numFmtId="0" xfId="0" applyAlignment="1" applyBorder="1" applyFont="1">
      <alignment horizontal="center" vertical="bottom"/>
    </xf>
    <xf borderId="5" fillId="26" fontId="7" numFmtId="0" xfId="0" applyAlignment="1" applyBorder="1" applyFont="1">
      <alignment horizontal="center" vertical="bottom"/>
    </xf>
    <xf borderId="5" fillId="311" fontId="7" numFmtId="0" xfId="0" applyAlignment="1" applyBorder="1" applyFont="1">
      <alignment horizontal="center" vertical="bottom"/>
    </xf>
    <xf borderId="5" fillId="312" fontId="7" numFmtId="0" xfId="0" applyAlignment="1" applyBorder="1" applyFont="1">
      <alignment horizontal="center" vertical="bottom"/>
    </xf>
    <xf borderId="5" fillId="30" fontId="7" numFmtId="0" xfId="0" applyAlignment="1" applyBorder="1" applyFont="1">
      <alignment horizontal="center" vertical="bottom"/>
    </xf>
    <xf borderId="1" fillId="320" fontId="7" numFmtId="0" xfId="0" applyAlignment="1" applyBorder="1" applyFont="1">
      <alignment horizontal="center" vertical="bottom"/>
    </xf>
    <xf borderId="9" fillId="321" fontId="7" numFmtId="0" xfId="0" applyAlignment="1" applyBorder="1" applyFont="1">
      <alignment horizontal="center" vertical="bottom"/>
    </xf>
    <xf borderId="1" fillId="327" fontId="7" numFmtId="0" xfId="0" applyAlignment="1" applyBorder="1" applyFont="1">
      <alignment horizontal="center" vertical="bottom"/>
    </xf>
    <xf borderId="9" fillId="45" fontId="7" numFmtId="0" xfId="0" applyAlignment="1" applyBorder="1" applyFont="1">
      <alignment horizontal="center" vertical="bottom"/>
    </xf>
    <xf borderId="1" fillId="42" fontId="7" numFmtId="0" xfId="0" applyAlignment="1" applyBorder="1" applyFont="1">
      <alignment horizontal="center" vertical="bottom"/>
    </xf>
    <xf borderId="9" fillId="316" fontId="7" numFmtId="0" xfId="0" applyAlignment="1" applyBorder="1" applyFont="1">
      <alignment horizontal="center" vertical="bottom"/>
    </xf>
    <xf borderId="1" fillId="315" fontId="7" numFmtId="0" xfId="0" applyAlignment="1" applyBorder="1" applyFont="1">
      <alignment horizontal="center" vertical="bottom"/>
    </xf>
    <xf borderId="3" fillId="317" fontId="7" numFmtId="0" xfId="0" applyAlignment="1" applyBorder="1" applyFont="1">
      <alignment horizontal="center" vertical="bottom"/>
    </xf>
    <xf borderId="3" fillId="318" fontId="7" numFmtId="0" xfId="0" applyAlignment="1" applyBorder="1" applyFont="1">
      <alignment horizontal="center" vertical="bottom"/>
    </xf>
    <xf borderId="1" fillId="34" fontId="7" numFmtId="0" xfId="0" applyAlignment="1" applyBorder="1" applyFont="1">
      <alignment horizontal="center" vertical="bottom"/>
    </xf>
    <xf borderId="1" fillId="350" fontId="7" numFmtId="0" xfId="0" applyAlignment="1" applyBorder="1" applyFont="1">
      <alignment horizontal="center" vertical="bottom"/>
    </xf>
    <xf borderId="9" fillId="351" fontId="7" numFmtId="0" xfId="0" applyAlignment="1" applyBorder="1" applyFont="1">
      <alignment horizontal="center" vertical="bottom"/>
    </xf>
    <xf borderId="1" fillId="21" fontId="7" numFmtId="0" xfId="0" applyAlignment="1" applyBorder="1" applyFont="1">
      <alignment horizontal="center" vertical="bottom"/>
    </xf>
    <xf borderId="9" fillId="311" fontId="7" numFmtId="0" xfId="0" applyAlignment="1" applyBorder="1" applyFont="1">
      <alignment horizontal="center" vertical="bottom"/>
    </xf>
    <xf borderId="1" fillId="93" fontId="7" numFmtId="0" xfId="0" applyAlignment="1" applyBorder="1" applyFont="1">
      <alignment horizontal="center" vertical="bottom"/>
    </xf>
    <xf borderId="1" fillId="224" fontId="7" numFmtId="0" xfId="0" applyAlignment="1" applyBorder="1" applyFont="1">
      <alignment horizontal="center" vertical="bottom"/>
    </xf>
    <xf borderId="3" fillId="225" fontId="7" numFmtId="0" xfId="0" applyAlignment="1" applyBorder="1" applyFont="1">
      <alignment horizontal="center" vertical="bottom"/>
    </xf>
    <xf borderId="3" fillId="226" fontId="7" numFmtId="0" xfId="0" applyAlignment="1" applyBorder="1" applyFont="1">
      <alignment horizontal="center" vertical="bottom"/>
    </xf>
    <xf borderId="3" fillId="227" fontId="7" numFmtId="0" xfId="0" applyAlignment="1" applyBorder="1" applyFont="1">
      <alignment horizontal="center" vertical="bottom"/>
    </xf>
    <xf borderId="3" fillId="6" fontId="5" numFmtId="0" xfId="0" applyAlignment="1" applyBorder="1" applyFont="1">
      <alignment vertical="bottom"/>
    </xf>
    <xf borderId="3" fillId="265" fontId="7" numFmtId="0" xfId="0" applyAlignment="1" applyBorder="1" applyFont="1">
      <alignment horizontal="center" vertical="bottom"/>
    </xf>
    <xf borderId="3" fillId="266" fontId="7" numFmtId="0" xfId="0" applyAlignment="1" applyBorder="1" applyFont="1">
      <alignment horizontal="center" vertical="bottom"/>
    </xf>
    <xf borderId="1" fillId="267" fontId="7" numFmtId="0" xfId="0" applyAlignment="1" applyBorder="1" applyFont="1">
      <alignment horizontal="center" vertical="bottom"/>
    </xf>
    <xf borderId="9" fillId="161" fontId="7" numFmtId="0" xfId="0" applyAlignment="1" applyBorder="1" applyFont="1">
      <alignment horizontal="center" vertical="bottom"/>
    </xf>
    <xf borderId="1" fillId="356" fontId="7" numFmtId="0" xfId="0" applyAlignment="1" applyBorder="1" applyFont="1">
      <alignment horizontal="center" vertical="bottom"/>
    </xf>
    <xf borderId="10" fillId="357" fontId="7" numFmtId="0" xfId="0" applyAlignment="1" applyBorder="1" applyFont="1">
      <alignment horizontal="center" vertical="bottom"/>
    </xf>
    <xf borderId="1" fillId="55" fontId="7" numFmtId="0" xfId="0" applyAlignment="1" applyBorder="1" applyFont="1">
      <alignment horizontal="center" vertical="bottom"/>
    </xf>
    <xf borderId="9" fillId="56" fontId="7" numFmtId="0" xfId="0" applyAlignment="1" applyBorder="1" applyFont="1">
      <alignment horizontal="center" vertical="bottom"/>
    </xf>
    <xf borderId="1" fillId="17" fontId="7" numFmtId="0" xfId="0" applyAlignment="1" applyBorder="1" applyFont="1">
      <alignment horizontal="center" vertical="bottom"/>
    </xf>
    <xf borderId="9" fillId="59" fontId="7" numFmtId="0" xfId="0" applyAlignment="1" applyBorder="1" applyFont="1">
      <alignment horizontal="center" vertical="bottom"/>
    </xf>
    <xf borderId="17" fillId="60" fontId="7" numFmtId="0" xfId="0" applyAlignment="1" applyBorder="1" applyFont="1">
      <alignment horizontal="center" vertical="bottom"/>
    </xf>
    <xf borderId="1" fillId="316" fontId="7" numFmtId="0" xfId="0" applyAlignment="1" applyBorder="1" applyFont="1">
      <alignment horizontal="center" vertical="bottom"/>
    </xf>
    <xf borderId="9" fillId="65" fontId="7" numFmtId="0" xfId="0" applyAlignment="1" applyBorder="1" applyFont="1">
      <alignment horizontal="center" vertical="bottom"/>
    </xf>
    <xf borderId="9" fillId="345" fontId="7" numFmtId="0" xfId="0" applyAlignment="1" applyBorder="1" applyFont="1">
      <alignment horizontal="center" vertical="bottom"/>
    </xf>
    <xf borderId="0" fillId="346" fontId="7" numFmtId="0" xfId="0" applyAlignment="1" applyFont="1">
      <alignment horizontal="center" vertical="bottom"/>
    </xf>
    <xf borderId="1" fillId="84" fontId="7" numFmtId="0" xfId="0" applyAlignment="1" applyBorder="1" applyFont="1">
      <alignment horizontal="center" vertical="bottom"/>
    </xf>
    <xf borderId="9" fillId="85" fontId="7" numFmtId="0" xfId="0" applyAlignment="1" applyBorder="1" applyFont="1">
      <alignment horizontal="center" vertical="bottom"/>
    </xf>
    <xf borderId="1" fillId="88" fontId="7" numFmtId="0" xfId="0" applyAlignment="1" applyBorder="1" applyFont="1">
      <alignment horizontal="center" vertical="bottom"/>
    </xf>
    <xf borderId="9" fillId="89" fontId="7" numFmtId="0" xfId="0" applyAlignment="1" applyBorder="1" applyFont="1">
      <alignment horizontal="center" vertical="bottom"/>
    </xf>
    <xf borderId="3" fillId="280" fontId="7" numFmtId="0" xfId="0" applyAlignment="1" applyBorder="1" applyFont="1">
      <alignment horizontal="center" vertical="bottom"/>
    </xf>
    <xf borderId="3" fillId="281" fontId="7" numFmtId="0" xfId="0" applyAlignment="1" applyBorder="1" applyFont="1">
      <alignment horizontal="center" vertical="bottom"/>
    </xf>
    <xf borderId="1" fillId="206" fontId="7" numFmtId="0" xfId="0" applyAlignment="1" applyBorder="1" applyFont="1">
      <alignment horizontal="center" vertical="bottom"/>
    </xf>
    <xf borderId="9" fillId="144" fontId="7" numFmtId="0" xfId="0" applyAlignment="1" applyBorder="1" applyFont="1">
      <alignment horizontal="center" vertical="bottom"/>
    </xf>
    <xf borderId="1" fillId="283" fontId="7" numFmtId="0" xfId="0" applyAlignment="1" applyBorder="1" applyFont="1">
      <alignment horizontal="center" vertical="bottom"/>
    </xf>
    <xf borderId="1" fillId="338" fontId="7" numFmtId="0" xfId="0" applyAlignment="1" applyBorder="1" applyFont="1">
      <alignment horizontal="center" vertical="bottom"/>
    </xf>
    <xf borderId="9" fillId="168" fontId="7" numFmtId="0" xfId="0" applyAlignment="1" applyBorder="1" applyFont="1">
      <alignment horizontal="center" vertical="bottom"/>
    </xf>
    <xf borderId="1" fillId="341" fontId="7" numFmtId="0" xfId="0" applyAlignment="1" applyBorder="1" applyFont="1">
      <alignment horizontal="center" vertical="bottom"/>
    </xf>
    <xf borderId="9" fillId="342" fontId="7" numFmtId="0" xfId="0" applyAlignment="1" applyBorder="1" applyFont="1">
      <alignment horizontal="center" vertical="bottom"/>
    </xf>
    <xf borderId="1" fillId="330" fontId="7" numFmtId="0" xfId="0" applyAlignment="1" applyBorder="1" applyFont="1">
      <alignment horizontal="center" vertical="bottom"/>
    </xf>
    <xf borderId="9" fillId="214" fontId="7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9" fillId="2" fontId="7" numFmtId="0" xfId="0" applyAlignment="1" applyBorder="1" applyFont="1">
      <alignment horizontal="center" vertical="bottom"/>
    </xf>
    <xf borderId="5" fillId="228" fontId="7" numFmtId="0" xfId="0" applyAlignment="1" applyBorder="1" applyFont="1">
      <alignment horizontal="center" vertical="bottom"/>
    </xf>
    <xf borderId="5" fillId="241" fontId="7" numFmtId="0" xfId="0" applyAlignment="1" applyBorder="1" applyFont="1">
      <alignment horizontal="center" vertical="bottom"/>
    </xf>
    <xf borderId="5" fillId="242" fontId="7" numFmtId="0" xfId="0" applyAlignment="1" applyBorder="1" applyFont="1">
      <alignment horizontal="center" vertical="bottom"/>
    </xf>
    <xf borderId="5" fillId="243" fontId="7" numFmtId="0" xfId="0" applyAlignment="1" applyBorder="1" applyFont="1">
      <alignment horizontal="center" vertical="bottom"/>
    </xf>
    <xf borderId="6" fillId="244" fontId="7" numFmtId="0" xfId="0" applyAlignment="1" applyBorder="1" applyFont="1">
      <alignment horizontal="center" vertical="bottom"/>
    </xf>
    <xf borderId="8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6" fillId="2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vertical="bottom"/>
    </xf>
    <xf borderId="5" fillId="148" fontId="7" numFmtId="0" xfId="0" applyAlignment="1" applyBorder="1" applyFont="1">
      <alignment horizontal="center" vertical="bottom"/>
    </xf>
    <xf borderId="9" fillId="296" fontId="7" numFmtId="0" xfId="0" applyAlignment="1" applyBorder="1" applyFont="1">
      <alignment horizontal="center" vertical="bottom"/>
    </xf>
    <xf borderId="1" fillId="170" fontId="7" numFmtId="0" xfId="0" applyAlignment="1" applyBorder="1" applyFont="1">
      <alignment horizontal="center" vertical="bottom"/>
    </xf>
    <xf borderId="9" fillId="171" fontId="7" numFmtId="0" xfId="0" applyAlignment="1" applyBorder="1" applyFont="1">
      <alignment horizontal="center" vertical="bottom"/>
    </xf>
    <xf borderId="3" fillId="383" fontId="7" numFmtId="0" xfId="0" applyAlignment="1" applyBorder="1" applyFont="1">
      <alignment horizontal="center" vertical="bottom"/>
    </xf>
    <xf borderId="1" fillId="118" fontId="7" numFmtId="0" xfId="0" applyAlignment="1" applyBorder="1" applyFont="1">
      <alignment horizontal="center" vertical="bottom"/>
    </xf>
    <xf borderId="9" fillId="386" fontId="7" numFmtId="0" xfId="0" applyAlignment="1" applyBorder="1" applyFont="1">
      <alignment horizontal="center" vertical="bottom"/>
    </xf>
    <xf borderId="10" fillId="204" fontId="7" numFmtId="0" xfId="0" applyAlignment="1" applyBorder="1" applyFont="1">
      <alignment horizontal="center" vertical="bottom"/>
    </xf>
    <xf borderId="10" fillId="2" fontId="7" numFmtId="0" xfId="0" applyAlignment="1" applyBorder="1" applyFont="1">
      <alignment horizontal="center" vertical="bottom"/>
    </xf>
    <xf borderId="5" fillId="99" fontId="7" numFmtId="0" xfId="0" applyAlignment="1" applyBorder="1" applyFont="1">
      <alignment horizontal="center" vertical="bottom"/>
    </xf>
    <xf borderId="5" fillId="100" fontId="7" numFmtId="0" xfId="0" applyAlignment="1" applyBorder="1" applyFont="1">
      <alignment horizontal="center" vertical="bottom"/>
    </xf>
    <xf borderId="5" fillId="101" fontId="7" numFmtId="0" xfId="0" applyAlignment="1" applyBorder="1" applyFont="1">
      <alignment horizontal="center" vertical="bottom"/>
    </xf>
    <xf borderId="6" fillId="102" fontId="7" numFmtId="0" xfId="0" applyAlignment="1" applyBorder="1" applyFont="1">
      <alignment horizontal="center" vertical="bottom"/>
    </xf>
    <xf borderId="8" fillId="103" fontId="7" numFmtId="0" xfId="0" applyAlignment="1" applyBorder="1" applyFont="1">
      <alignment horizontal="center" vertical="bottom"/>
    </xf>
    <xf borderId="5" fillId="104" fontId="7" numFmtId="0" xfId="0" applyAlignment="1" applyBorder="1" applyFont="1">
      <alignment horizontal="center" vertical="bottom"/>
    </xf>
    <xf borderId="5" fillId="105" fontId="7" numFmtId="0" xfId="0" applyAlignment="1" applyBorder="1" applyFont="1">
      <alignment horizontal="center" vertical="bottom"/>
    </xf>
    <xf borderId="5" fillId="106" fontId="7" numFmtId="0" xfId="0" applyAlignment="1" applyBorder="1" applyFont="1">
      <alignment horizontal="center" vertical="bottom"/>
    </xf>
    <xf borderId="5" fillId="107" fontId="7" numFmtId="0" xfId="0" applyAlignment="1" applyBorder="1" applyFont="1">
      <alignment horizontal="center" vertical="bottom"/>
    </xf>
    <xf borderId="3" fillId="254" fontId="7" numFmtId="0" xfId="0" applyAlignment="1" applyBorder="1" applyFont="1">
      <alignment horizontal="center" vertical="bottom"/>
    </xf>
    <xf borderId="3" fillId="255" fontId="7" numFmtId="0" xfId="0" applyAlignment="1" applyBorder="1" applyFont="1">
      <alignment horizontal="center" vertical="bottom"/>
    </xf>
    <xf borderId="1" fillId="154" fontId="7" numFmtId="0" xfId="0" applyAlignment="1" applyBorder="1" applyFont="1">
      <alignment horizontal="center" vertical="bottom"/>
    </xf>
    <xf borderId="9" fillId="192" fontId="7" numFmtId="0" xfId="0" applyAlignment="1" applyBorder="1" applyFont="1">
      <alignment horizontal="center" vertical="bottom"/>
    </xf>
    <xf borderId="1" fillId="35" fontId="7" numFmtId="0" xfId="0" applyAlignment="1" applyBorder="1" applyFont="1">
      <alignment horizontal="center" vertical="bottom"/>
    </xf>
    <xf borderId="9" fillId="36" fontId="7" numFmtId="0" xfId="0" applyAlignment="1" applyBorder="1" applyFont="1">
      <alignment horizontal="center" vertical="bottom"/>
    </xf>
    <xf borderId="1" fillId="161" fontId="7" numFmtId="0" xfId="0" applyAlignment="1" applyBorder="1" applyFont="1">
      <alignment horizontal="center" vertical="bottom"/>
    </xf>
    <xf borderId="9" fillId="48" fontId="7" numFmtId="0" xfId="0" applyAlignment="1" applyBorder="1" applyFont="1">
      <alignment horizontal="center" vertical="bottom"/>
    </xf>
    <xf borderId="1" fillId="179" fontId="7" numFmtId="0" xfId="0" applyAlignment="1" applyBorder="1" applyFont="1">
      <alignment horizontal="center" vertical="bottom"/>
    </xf>
    <xf borderId="9" fillId="291" fontId="7" numFmtId="0" xfId="0" applyAlignment="1" applyBorder="1" applyFont="1">
      <alignment horizontal="center" vertical="bottom"/>
    </xf>
    <xf borderId="1" fillId="45" fontId="7" numFmtId="0" xfId="0" applyAlignment="1" applyBorder="1" applyFont="1">
      <alignment horizontal="center" vertical="bottom"/>
    </xf>
    <xf borderId="9" fillId="14" fontId="7" numFmtId="0" xfId="0" applyAlignment="1" applyBorder="1" applyFont="1">
      <alignment horizontal="center" vertical="bottom"/>
    </xf>
    <xf borderId="1" fillId="75" fontId="7" numFmtId="0" xfId="0" applyAlignment="1" applyBorder="1" applyFont="1">
      <alignment horizontal="center" vertical="bottom"/>
    </xf>
    <xf borderId="9" fillId="76" fontId="7" numFmtId="0" xfId="0" applyAlignment="1" applyBorder="1" applyFont="1">
      <alignment horizontal="center" vertical="bottom"/>
    </xf>
    <xf borderId="1" fillId="113" fontId="7" numFmtId="0" xfId="0" applyAlignment="1" applyBorder="1" applyFont="1">
      <alignment horizontal="center" vertical="bottom"/>
    </xf>
    <xf borderId="9" fillId="251" fontId="7" numFmtId="0" xfId="0" applyAlignment="1" applyBorder="1" applyFont="1">
      <alignment horizontal="center" vertical="bottom"/>
    </xf>
    <xf borderId="1" fillId="309" fontId="7" numFmtId="0" xfId="0" applyAlignment="1" applyBorder="1" applyFont="1">
      <alignment horizontal="center" vertical="bottom"/>
    </xf>
    <xf borderId="9" fillId="310" fontId="7" numFmtId="0" xfId="0" applyAlignment="1" applyBorder="1" applyFont="1">
      <alignment horizontal="center" vertical="bottom"/>
    </xf>
    <xf borderId="3" fillId="284" fontId="7" numFmtId="0" xfId="0" applyAlignment="1" applyBorder="1" applyFont="1">
      <alignment horizontal="center" vertical="bottom"/>
    </xf>
    <xf borderId="3" fillId="285" fontId="7" numFmtId="0" xfId="0" applyAlignment="1" applyBorder="1" applyFont="1">
      <alignment horizontal="center" vertical="bottom"/>
    </xf>
    <xf borderId="1" fillId="286" fontId="7" numFmtId="0" xfId="0" applyAlignment="1" applyBorder="1" applyFont="1">
      <alignment horizontal="center" vertical="bottom"/>
    </xf>
    <xf borderId="9" fillId="287" fontId="7" numFmtId="0" xfId="0" applyAlignment="1" applyBorder="1" applyFont="1">
      <alignment horizontal="center" vertical="bottom"/>
    </xf>
    <xf borderId="1" fillId="94" fontId="7" numFmtId="0" xfId="0" applyAlignment="1" applyBorder="1" applyFont="1">
      <alignment horizontal="center" vertical="bottom"/>
    </xf>
    <xf borderId="9" fillId="95" fontId="7" numFmtId="0" xfId="0" applyAlignment="1" applyBorder="1" applyFont="1">
      <alignment horizontal="center" vertical="bottom"/>
    </xf>
    <xf borderId="9" fillId="230" fontId="7" numFmtId="0" xfId="0" applyAlignment="1" applyBorder="1" applyFont="1">
      <alignment horizontal="center" vertical="bottom"/>
    </xf>
    <xf borderId="1" fillId="279" fontId="7" numFmtId="0" xfId="0" applyAlignment="1" applyBorder="1" applyFont="1">
      <alignment horizontal="center" vertical="bottom"/>
    </xf>
    <xf borderId="10" fillId="172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9.13"/>
    <col customWidth="1" min="3" max="3" width="26.0"/>
    <col customWidth="1" min="4" max="4" width="7.75"/>
    <col customWidth="1" min="5" max="5" width="7.88"/>
    <col customWidth="1" min="6" max="6" width="11.13"/>
    <col customWidth="1" min="7" max="7" width="8.5"/>
    <col customWidth="1" min="8" max="8" width="8.25"/>
    <col customWidth="1" min="9" max="9" width="8.88"/>
    <col customWidth="1" min="10" max="10" width="7.5"/>
    <col customWidth="1" min="11" max="11" width="8.0"/>
    <col customWidth="1" min="12" max="12" width="7.88"/>
    <col customWidth="1" min="13" max="13" width="8.5"/>
    <col customWidth="1" min="14" max="14" width="9.0"/>
    <col customWidth="1" min="15" max="15" width="5.88"/>
    <col customWidth="1" min="16" max="16" width="4.88"/>
    <col customWidth="1" min="17" max="17" width="5.75"/>
    <col customWidth="1" min="18" max="18" width="5.5"/>
    <col customWidth="1" min="19" max="19" width="4.88"/>
    <col customWidth="1" min="20" max="20" width="4.63"/>
    <col customWidth="1" min="21" max="21" width="6.88"/>
    <col customWidth="1" min="22" max="22" width="6.75"/>
    <col customWidth="1" min="23" max="23" width="6.63"/>
    <col customWidth="1" min="24" max="24" width="5.88"/>
    <col customWidth="1" min="25" max="25" width="6.25"/>
    <col customWidth="1" min="26" max="26" width="5.75"/>
    <col customWidth="1" min="27" max="27" width="6.0"/>
    <col customWidth="1" min="28" max="28" width="7.5"/>
  </cols>
  <sheetData>
    <row r="1">
      <c r="D1" s="1" t="s">
        <v>0</v>
      </c>
    </row>
    <row r="2">
      <c r="D2" s="2"/>
      <c r="E2" s="3" t="s">
        <v>1</v>
      </c>
    </row>
    <row r="3">
      <c r="D3" s="4"/>
      <c r="E3" s="3" t="s">
        <v>2</v>
      </c>
    </row>
    <row r="5">
      <c r="D5" s="5"/>
      <c r="E5" s="3" t="s">
        <v>3</v>
      </c>
    </row>
    <row r="6">
      <c r="D6" s="6"/>
      <c r="E6" s="3" t="s">
        <v>4</v>
      </c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8"/>
      <c r="B8" s="9" t="s">
        <v>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</row>
    <row r="10">
      <c r="A10" s="11"/>
      <c r="B10" s="12" t="s">
        <v>6</v>
      </c>
      <c r="C10" s="12" t="s">
        <v>7</v>
      </c>
      <c r="D10" s="13" t="s">
        <v>8</v>
      </c>
      <c r="E10" s="13" t="s">
        <v>9</v>
      </c>
      <c r="F10" s="13" t="s">
        <v>10</v>
      </c>
      <c r="G10" s="13" t="s">
        <v>11</v>
      </c>
      <c r="H10" s="13" t="s">
        <v>12</v>
      </c>
      <c r="I10" s="13" t="s">
        <v>13</v>
      </c>
      <c r="J10" s="13" t="s">
        <v>14</v>
      </c>
      <c r="K10" s="13" t="s">
        <v>15</v>
      </c>
      <c r="L10" s="13" t="s">
        <v>16</v>
      </c>
      <c r="M10" s="13" t="s">
        <v>17</v>
      </c>
      <c r="N10" s="13" t="s">
        <v>18</v>
      </c>
      <c r="O10" s="13" t="s">
        <v>19</v>
      </c>
      <c r="P10" s="13" t="s">
        <v>20</v>
      </c>
      <c r="Q10" s="13" t="s">
        <v>21</v>
      </c>
      <c r="R10" s="13" t="s">
        <v>22</v>
      </c>
      <c r="S10" s="13" t="s">
        <v>23</v>
      </c>
      <c r="T10" s="13" t="s">
        <v>24</v>
      </c>
      <c r="U10" s="13" t="s">
        <v>25</v>
      </c>
      <c r="V10" s="13" t="s">
        <v>26</v>
      </c>
      <c r="W10" s="13" t="s">
        <v>27</v>
      </c>
      <c r="X10" s="13" t="s">
        <v>28</v>
      </c>
      <c r="Y10" s="13" t="s">
        <v>29</v>
      </c>
      <c r="Z10" s="13" t="s">
        <v>30</v>
      </c>
      <c r="AA10" s="13" t="s">
        <v>31</v>
      </c>
      <c r="AB10" s="13" t="s">
        <v>32</v>
      </c>
    </row>
    <row r="11">
      <c r="A11" s="14"/>
      <c r="B11" s="15" t="s">
        <v>33</v>
      </c>
      <c r="C11" s="12" t="s">
        <v>34</v>
      </c>
      <c r="D11" s="16">
        <f t="shared" ref="D11:D20" si="1">ROUND(3.2 + (13*(Z:Z) + 3*((X:X) +(AA:AA)) - 2*(Y:Y))/(N:N), 2)</f>
        <v>2.31</v>
      </c>
      <c r="E11" s="17">
        <v>3.33</v>
      </c>
      <c r="F11" s="18">
        <f t="shared" ref="F11:F20" si="2">ROUND((D:D)-(E:E), 2)</f>
        <v>-1.02</v>
      </c>
      <c r="G11" s="19">
        <f t="shared" ref="G11:G20" si="3">ROUND(9*((V:V)/(N:N)), 2)</f>
        <v>4.19</v>
      </c>
      <c r="H11" s="20">
        <v>1.19</v>
      </c>
      <c r="I11" s="21">
        <v>10.94</v>
      </c>
      <c r="J11" s="22">
        <f t="shared" ref="J11:J20" si="4">ROUND((Y:Y)/(X:X), 2)</f>
        <v>4.84</v>
      </c>
      <c r="K11" s="23">
        <f t="shared" ref="K11:K20" si="5">ROUND(9*((X:X)/(N:N)), 2)</f>
        <v>2.27</v>
      </c>
      <c r="L11" s="24">
        <f t="shared" ref="L11:L20" si="6">ROUND(9*((Z:Z)/(N:N)), 2)</f>
        <v>0.36</v>
      </c>
      <c r="M11" s="25">
        <f t="shared" ref="M11:M20" si="7">ROUND(100*(Z:Z)/(U:U), 2)</f>
        <v>4.23</v>
      </c>
      <c r="N11" s="26">
        <v>75.2</v>
      </c>
      <c r="O11" s="12">
        <v>1.0</v>
      </c>
      <c r="P11" s="12">
        <v>14.0</v>
      </c>
      <c r="Q11" s="12">
        <v>13.0</v>
      </c>
      <c r="R11" s="12">
        <v>7.0</v>
      </c>
      <c r="S11" s="12">
        <v>1.0</v>
      </c>
      <c r="T11" s="12">
        <v>0.0</v>
      </c>
      <c r="U11" s="12">
        <v>71.0</v>
      </c>
      <c r="V11" s="12">
        <v>35.0</v>
      </c>
      <c r="W11" s="12">
        <v>28.0</v>
      </c>
      <c r="X11" s="12">
        <v>19.0</v>
      </c>
      <c r="Y11" s="12">
        <v>92.0</v>
      </c>
      <c r="Z11" s="12">
        <v>3.0</v>
      </c>
      <c r="AA11" s="12">
        <v>7.0</v>
      </c>
      <c r="AB11" s="12" t="s">
        <v>35</v>
      </c>
    </row>
    <row r="12">
      <c r="A12" s="14"/>
      <c r="B12" s="15" t="s">
        <v>36</v>
      </c>
      <c r="C12" s="12" t="s">
        <v>37</v>
      </c>
      <c r="D12" s="27">
        <f t="shared" si="1"/>
        <v>2.79</v>
      </c>
      <c r="E12" s="28">
        <v>3.91</v>
      </c>
      <c r="F12" s="29">
        <f t="shared" si="2"/>
        <v>-1.12</v>
      </c>
      <c r="G12" s="30">
        <f t="shared" si="3"/>
        <v>5.19</v>
      </c>
      <c r="H12" s="31">
        <v>1.11</v>
      </c>
      <c r="I12" s="32">
        <v>10.69</v>
      </c>
      <c r="J12" s="33">
        <f t="shared" si="4"/>
        <v>3.88</v>
      </c>
      <c r="K12" s="34">
        <f t="shared" si="5"/>
        <v>2.77</v>
      </c>
      <c r="L12" s="35">
        <f t="shared" si="6"/>
        <v>0.46</v>
      </c>
      <c r="M12" s="36">
        <f t="shared" si="7"/>
        <v>6.35</v>
      </c>
      <c r="N12" s="37">
        <v>78.1</v>
      </c>
      <c r="O12" s="12">
        <v>0.0</v>
      </c>
      <c r="P12" s="12">
        <v>18.0</v>
      </c>
      <c r="Q12" s="12">
        <v>16.0</v>
      </c>
      <c r="R12" s="12">
        <v>11.0</v>
      </c>
      <c r="S12" s="12">
        <v>4.0</v>
      </c>
      <c r="T12" s="12">
        <v>0.0</v>
      </c>
      <c r="U12" s="12">
        <v>63.0</v>
      </c>
      <c r="V12" s="12">
        <v>45.0</v>
      </c>
      <c r="W12" s="12">
        <v>34.0</v>
      </c>
      <c r="X12" s="12">
        <v>24.0</v>
      </c>
      <c r="Y12" s="12">
        <v>93.0</v>
      </c>
      <c r="Z12" s="12">
        <v>4.0</v>
      </c>
      <c r="AA12" s="12">
        <v>10.0</v>
      </c>
      <c r="AB12" s="12" t="s">
        <v>35</v>
      </c>
    </row>
    <row r="13">
      <c r="A13" s="14"/>
      <c r="B13" s="15" t="s">
        <v>38</v>
      </c>
      <c r="C13" s="12" t="s">
        <v>39</v>
      </c>
      <c r="D13" s="38">
        <f t="shared" si="1"/>
        <v>3.08</v>
      </c>
      <c r="E13" s="39">
        <v>3.72</v>
      </c>
      <c r="F13" s="40">
        <f t="shared" si="2"/>
        <v>-0.64</v>
      </c>
      <c r="G13" s="41">
        <f t="shared" si="3"/>
        <v>4.67</v>
      </c>
      <c r="H13" s="42">
        <v>1.23</v>
      </c>
      <c r="I13" s="43">
        <v>12.69</v>
      </c>
      <c r="J13" s="44">
        <f t="shared" si="4"/>
        <v>3.11</v>
      </c>
      <c r="K13" s="45">
        <f t="shared" si="5"/>
        <v>4.09</v>
      </c>
      <c r="L13" s="46">
        <f t="shared" si="6"/>
        <v>0.58</v>
      </c>
      <c r="M13" s="47">
        <f t="shared" si="7"/>
        <v>8.33</v>
      </c>
      <c r="N13" s="48">
        <v>77.1</v>
      </c>
      <c r="O13" s="12">
        <v>5.0</v>
      </c>
      <c r="P13" s="12">
        <v>14.0</v>
      </c>
      <c r="Q13" s="12">
        <v>14.0</v>
      </c>
      <c r="R13" s="12">
        <v>11.0</v>
      </c>
      <c r="S13" s="12">
        <v>1.0</v>
      </c>
      <c r="T13" s="12">
        <v>0.0</v>
      </c>
      <c r="U13" s="12">
        <v>60.0</v>
      </c>
      <c r="V13" s="12">
        <v>40.0</v>
      </c>
      <c r="W13" s="12">
        <v>32.0</v>
      </c>
      <c r="X13" s="12">
        <v>35.0</v>
      </c>
      <c r="Y13" s="12">
        <v>109.0</v>
      </c>
      <c r="Z13" s="12">
        <v>5.0</v>
      </c>
      <c r="AA13" s="12">
        <v>13.0</v>
      </c>
      <c r="AB13" s="12" t="s">
        <v>35</v>
      </c>
    </row>
    <row r="14">
      <c r="A14" s="14"/>
      <c r="B14" s="15" t="s">
        <v>40</v>
      </c>
      <c r="C14" s="12" t="s">
        <v>41</v>
      </c>
      <c r="D14" s="49">
        <f t="shared" si="1"/>
        <v>2.82</v>
      </c>
      <c r="E14" s="50">
        <v>3.01</v>
      </c>
      <c r="F14" s="51">
        <f t="shared" si="2"/>
        <v>-0.19</v>
      </c>
      <c r="G14" s="52">
        <f t="shared" si="3"/>
        <v>3.41</v>
      </c>
      <c r="H14" s="53">
        <v>1.12</v>
      </c>
      <c r="I14" s="54">
        <v>8.92</v>
      </c>
      <c r="J14" s="55">
        <f t="shared" si="4"/>
        <v>4.44</v>
      </c>
      <c r="K14" s="56">
        <f t="shared" si="5"/>
        <v>2.02</v>
      </c>
      <c r="L14" s="18">
        <f t="shared" si="6"/>
        <v>0.51</v>
      </c>
      <c r="M14" s="57">
        <f t="shared" si="7"/>
        <v>6.25</v>
      </c>
      <c r="N14" s="58">
        <v>71.2</v>
      </c>
      <c r="O14" s="12">
        <v>3.0</v>
      </c>
      <c r="P14" s="12">
        <v>14.0</v>
      </c>
      <c r="Q14" s="12">
        <v>14.0</v>
      </c>
      <c r="R14" s="12">
        <v>9.0</v>
      </c>
      <c r="S14" s="12">
        <v>1.0</v>
      </c>
      <c r="T14" s="12">
        <v>0.0</v>
      </c>
      <c r="U14" s="12">
        <v>64.0</v>
      </c>
      <c r="V14" s="12">
        <v>27.0</v>
      </c>
      <c r="W14" s="12">
        <v>24.0</v>
      </c>
      <c r="X14" s="12">
        <v>16.0</v>
      </c>
      <c r="Y14" s="12">
        <v>71.0</v>
      </c>
      <c r="Z14" s="12">
        <v>4.0</v>
      </c>
      <c r="AA14" s="12">
        <v>5.0</v>
      </c>
      <c r="AB14" s="12" t="s">
        <v>35</v>
      </c>
    </row>
    <row r="15">
      <c r="A15" s="14"/>
      <c r="B15" s="15" t="s">
        <v>42</v>
      </c>
      <c r="C15" s="12" t="s">
        <v>43</v>
      </c>
      <c r="D15" s="19">
        <f t="shared" si="1"/>
        <v>2.71</v>
      </c>
      <c r="E15" s="59">
        <v>5.18</v>
      </c>
      <c r="F15" s="60">
        <f t="shared" si="2"/>
        <v>-2.47</v>
      </c>
      <c r="G15" s="61">
        <f t="shared" si="3"/>
        <v>6.55</v>
      </c>
      <c r="H15" s="62">
        <v>1.53</v>
      </c>
      <c r="I15" s="63">
        <v>7.96</v>
      </c>
      <c r="J15" s="64">
        <f t="shared" si="4"/>
        <v>4.13</v>
      </c>
      <c r="K15" s="65">
        <f t="shared" si="5"/>
        <v>1.94</v>
      </c>
      <c r="L15" s="24">
        <f t="shared" si="6"/>
        <v>0.36</v>
      </c>
      <c r="M15" s="66">
        <f t="shared" si="7"/>
        <v>3.06</v>
      </c>
      <c r="N15" s="67">
        <v>74.2</v>
      </c>
      <c r="O15" s="12">
        <v>1.0</v>
      </c>
      <c r="P15" s="12">
        <v>15.0</v>
      </c>
      <c r="Q15" s="12">
        <v>14.0</v>
      </c>
      <c r="R15" s="12">
        <v>6.0</v>
      </c>
      <c r="S15" s="12">
        <v>7.0</v>
      </c>
      <c r="T15" s="12">
        <v>0.0</v>
      </c>
      <c r="U15" s="12">
        <v>98.0</v>
      </c>
      <c r="V15" s="12">
        <v>54.0</v>
      </c>
      <c r="W15" s="12">
        <v>43.0</v>
      </c>
      <c r="X15" s="12">
        <v>16.0</v>
      </c>
      <c r="Y15" s="12">
        <v>66.0</v>
      </c>
      <c r="Z15" s="12">
        <v>3.0</v>
      </c>
      <c r="AA15" s="12">
        <v>3.0</v>
      </c>
      <c r="AB15" s="12" t="s">
        <v>35</v>
      </c>
    </row>
    <row r="16">
      <c r="A16" s="14"/>
      <c r="B16" s="15" t="s">
        <v>44</v>
      </c>
      <c r="C16" s="12" t="s">
        <v>45</v>
      </c>
      <c r="D16" s="68">
        <f t="shared" si="1"/>
        <v>3</v>
      </c>
      <c r="E16" s="69">
        <v>3.97</v>
      </c>
      <c r="F16" s="70">
        <f t="shared" si="2"/>
        <v>-0.97</v>
      </c>
      <c r="G16" s="27">
        <f t="shared" si="3"/>
        <v>4.32</v>
      </c>
      <c r="H16" s="71">
        <v>1.21</v>
      </c>
      <c r="I16" s="72">
        <v>8.17</v>
      </c>
      <c r="J16" s="73">
        <f t="shared" si="4"/>
        <v>2.67</v>
      </c>
      <c r="K16" s="74">
        <f t="shared" si="5"/>
        <v>3.07</v>
      </c>
      <c r="L16" s="75">
        <f t="shared" si="6"/>
        <v>0.23</v>
      </c>
      <c r="M16" s="76">
        <f t="shared" si="7"/>
        <v>2.9</v>
      </c>
      <c r="N16" s="77">
        <v>79.1</v>
      </c>
      <c r="O16" s="12">
        <v>6.0</v>
      </c>
      <c r="P16" s="12">
        <v>15.0</v>
      </c>
      <c r="Q16" s="12">
        <v>12.0</v>
      </c>
      <c r="R16" s="12">
        <v>7.0</v>
      </c>
      <c r="S16" s="12">
        <v>0.0</v>
      </c>
      <c r="T16" s="12">
        <v>0.0</v>
      </c>
      <c r="U16" s="78">
        <v>69.0</v>
      </c>
      <c r="V16" s="78">
        <v>38.0</v>
      </c>
      <c r="W16" s="78">
        <v>35.0</v>
      </c>
      <c r="X16" s="78">
        <v>27.0</v>
      </c>
      <c r="Y16" s="78">
        <v>72.0</v>
      </c>
      <c r="Z16" s="12">
        <v>2.0</v>
      </c>
      <c r="AA16" s="12">
        <v>7.0</v>
      </c>
      <c r="AB16" s="12" t="s">
        <v>35</v>
      </c>
    </row>
    <row r="17">
      <c r="A17" s="14"/>
      <c r="B17" s="15" t="s">
        <v>46</v>
      </c>
      <c r="C17" s="12" t="s">
        <v>47</v>
      </c>
      <c r="D17" s="79">
        <f t="shared" si="1"/>
        <v>3.11</v>
      </c>
      <c r="E17" s="80">
        <v>6.33</v>
      </c>
      <c r="F17" s="81">
        <f t="shared" si="2"/>
        <v>-3.22</v>
      </c>
      <c r="G17" s="82">
        <f t="shared" si="3"/>
        <v>7.67</v>
      </c>
      <c r="H17" s="83">
        <v>1.69</v>
      </c>
      <c r="I17" s="84">
        <v>10.87</v>
      </c>
      <c r="J17" s="85">
        <f t="shared" si="4"/>
        <v>3.64</v>
      </c>
      <c r="K17" s="39">
        <f t="shared" si="5"/>
        <v>3</v>
      </c>
      <c r="L17" s="86">
        <f t="shared" si="6"/>
        <v>0.84</v>
      </c>
      <c r="M17" s="87">
        <f t="shared" si="7"/>
        <v>6.86</v>
      </c>
      <c r="N17" s="88">
        <v>75.1</v>
      </c>
      <c r="O17" s="12">
        <v>0.0</v>
      </c>
      <c r="P17" s="12">
        <v>16.0</v>
      </c>
      <c r="Q17" s="12">
        <v>0.0</v>
      </c>
      <c r="R17" s="12">
        <v>6.0</v>
      </c>
      <c r="S17" s="12">
        <v>5.0</v>
      </c>
      <c r="T17" s="12">
        <v>0.0</v>
      </c>
      <c r="U17" s="12">
        <v>102.0</v>
      </c>
      <c r="V17" s="12">
        <v>64.0</v>
      </c>
      <c r="W17" s="12">
        <v>53.0</v>
      </c>
      <c r="X17" s="12">
        <v>25.0</v>
      </c>
      <c r="Y17" s="12">
        <v>91.0</v>
      </c>
      <c r="Z17" s="12">
        <v>7.0</v>
      </c>
      <c r="AA17" s="12">
        <v>3.0</v>
      </c>
      <c r="AB17" s="12" t="s">
        <v>35</v>
      </c>
    </row>
    <row r="18">
      <c r="A18" s="14"/>
      <c r="B18" s="15" t="s">
        <v>48</v>
      </c>
      <c r="C18" s="12" t="s">
        <v>49</v>
      </c>
      <c r="D18" s="69">
        <f t="shared" si="1"/>
        <v>3.37</v>
      </c>
      <c r="E18" s="89">
        <v>5.28</v>
      </c>
      <c r="F18" s="90">
        <f t="shared" si="2"/>
        <v>-1.91</v>
      </c>
      <c r="G18" s="91">
        <f t="shared" si="3"/>
        <v>7.29</v>
      </c>
      <c r="H18" s="92">
        <v>1.48</v>
      </c>
      <c r="I18" s="93">
        <v>5.59</v>
      </c>
      <c r="J18" s="94">
        <f t="shared" si="4"/>
        <v>2.25</v>
      </c>
      <c r="K18" s="95">
        <f t="shared" si="5"/>
        <v>2.48</v>
      </c>
      <c r="L18" s="96">
        <f t="shared" si="6"/>
        <v>0.16</v>
      </c>
      <c r="M18" s="97">
        <f t="shared" si="7"/>
        <v>1.43</v>
      </c>
      <c r="N18" s="98">
        <v>58.0</v>
      </c>
      <c r="O18" s="12">
        <v>0.0</v>
      </c>
      <c r="P18" s="12">
        <v>12.0</v>
      </c>
      <c r="Q18" s="12">
        <v>0.0</v>
      </c>
      <c r="R18" s="12">
        <v>3.0</v>
      </c>
      <c r="S18" s="12">
        <v>4.0</v>
      </c>
      <c r="T18" s="12">
        <v>0.0</v>
      </c>
      <c r="U18" s="12">
        <v>70.0</v>
      </c>
      <c r="V18" s="12">
        <v>47.0</v>
      </c>
      <c r="W18" s="12">
        <v>34.0</v>
      </c>
      <c r="X18" s="12">
        <v>16.0</v>
      </c>
      <c r="Y18" s="12">
        <v>36.0</v>
      </c>
      <c r="Z18" s="12">
        <v>1.0</v>
      </c>
      <c r="AA18" s="12">
        <v>7.0</v>
      </c>
      <c r="AB18" s="12" t="s">
        <v>35</v>
      </c>
    </row>
    <row r="19">
      <c r="A19" s="14"/>
      <c r="B19" s="15" t="s">
        <v>50</v>
      </c>
      <c r="C19" s="12" t="s">
        <v>51</v>
      </c>
      <c r="D19" s="74">
        <f t="shared" si="1"/>
        <v>3.39</v>
      </c>
      <c r="E19" s="99">
        <v>4.17</v>
      </c>
      <c r="F19" s="100">
        <f t="shared" si="2"/>
        <v>-0.78</v>
      </c>
      <c r="G19" s="101">
        <f t="shared" si="3"/>
        <v>4.8</v>
      </c>
      <c r="H19" s="102">
        <v>1.32</v>
      </c>
      <c r="I19" s="103">
        <v>9.87</v>
      </c>
      <c r="J19" s="104">
        <f t="shared" si="4"/>
        <v>3.37</v>
      </c>
      <c r="K19" s="34">
        <f t="shared" si="5"/>
        <v>2.94</v>
      </c>
      <c r="L19" s="105">
        <f t="shared" si="6"/>
        <v>0.62</v>
      </c>
      <c r="M19" s="87">
        <f t="shared" si="7"/>
        <v>6.9</v>
      </c>
      <c r="N19" s="106">
        <v>58.1</v>
      </c>
      <c r="O19" s="12">
        <v>0.0</v>
      </c>
      <c r="P19" s="12">
        <v>14.0</v>
      </c>
      <c r="Q19" s="12">
        <v>12.0</v>
      </c>
      <c r="R19" s="12">
        <v>3.0</v>
      </c>
      <c r="S19" s="12">
        <v>2.0</v>
      </c>
      <c r="T19" s="12">
        <v>1.0</v>
      </c>
      <c r="U19" s="12">
        <v>58.0</v>
      </c>
      <c r="V19" s="12">
        <v>31.0</v>
      </c>
      <c r="W19" s="12">
        <v>27.0</v>
      </c>
      <c r="X19" s="12">
        <v>19.0</v>
      </c>
      <c r="Y19" s="12">
        <v>64.0</v>
      </c>
      <c r="Z19" s="12">
        <v>4.0</v>
      </c>
      <c r="AA19" s="12">
        <v>10.0</v>
      </c>
      <c r="AB19" s="12" t="s">
        <v>35</v>
      </c>
    </row>
    <row r="20">
      <c r="A20" s="14"/>
      <c r="B20" s="15" t="s">
        <v>52</v>
      </c>
      <c r="C20" s="12" t="s">
        <v>53</v>
      </c>
      <c r="D20" s="107">
        <f t="shared" si="1"/>
        <v>3.95</v>
      </c>
      <c r="E20" s="107">
        <v>5.2</v>
      </c>
      <c r="F20" s="108">
        <f t="shared" si="2"/>
        <v>-1.25</v>
      </c>
      <c r="G20" s="109">
        <f t="shared" si="3"/>
        <v>5.91</v>
      </c>
      <c r="H20" s="110">
        <v>1.64</v>
      </c>
      <c r="I20" s="111">
        <v>13.22</v>
      </c>
      <c r="J20" s="112">
        <f t="shared" si="4"/>
        <v>1.77</v>
      </c>
      <c r="K20" s="113">
        <f t="shared" si="5"/>
        <v>7.45</v>
      </c>
      <c r="L20" s="114">
        <f t="shared" si="6"/>
        <v>0.7</v>
      </c>
      <c r="M20" s="115">
        <f t="shared" si="7"/>
        <v>9.62</v>
      </c>
      <c r="N20" s="116">
        <v>64.0</v>
      </c>
      <c r="O20" s="12">
        <v>0.0</v>
      </c>
      <c r="P20" s="12">
        <v>14.0</v>
      </c>
      <c r="Q20" s="12">
        <v>14.0</v>
      </c>
      <c r="R20" s="12">
        <v>6.0</v>
      </c>
      <c r="S20" s="12">
        <v>2.0</v>
      </c>
      <c r="T20" s="12">
        <v>0.0</v>
      </c>
      <c r="U20" s="12">
        <v>52.0</v>
      </c>
      <c r="V20" s="12">
        <v>42.0</v>
      </c>
      <c r="W20" s="12">
        <v>37.0</v>
      </c>
      <c r="X20" s="12">
        <v>53.0</v>
      </c>
      <c r="Y20" s="12">
        <v>94.0</v>
      </c>
      <c r="Z20" s="12">
        <v>5.0</v>
      </c>
      <c r="AA20" s="12">
        <v>4.0</v>
      </c>
      <c r="AB20" s="12" t="s">
        <v>35</v>
      </c>
    </row>
    <row r="22">
      <c r="B22" s="117" t="s">
        <v>54</v>
      </c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</row>
    <row r="23">
      <c r="B23" s="119" t="s">
        <v>55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</row>
    <row r="24">
      <c r="B24" s="120" t="s">
        <v>56</v>
      </c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</row>
    <row r="25">
      <c r="B25" s="117" t="s">
        <v>57</v>
      </c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</row>
    <row r="26">
      <c r="B26" s="120" t="s">
        <v>58</v>
      </c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</row>
    <row r="27">
      <c r="B27" s="120" t="s">
        <v>59</v>
      </c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</row>
    <row r="28">
      <c r="B28" s="117" t="s">
        <v>60</v>
      </c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</row>
    <row r="29">
      <c r="B29" s="120" t="s">
        <v>61</v>
      </c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</row>
    <row r="30">
      <c r="B30" s="120" t="s">
        <v>62</v>
      </c>
      <c r="K30" s="118"/>
      <c r="L30" s="118"/>
      <c r="M30" s="118"/>
    </row>
    <row r="31">
      <c r="B31" s="117" t="s">
        <v>63</v>
      </c>
      <c r="C31" s="118"/>
      <c r="D31" s="118"/>
      <c r="E31" s="118"/>
      <c r="F31" s="118"/>
      <c r="G31" s="118"/>
      <c r="H31" s="118"/>
      <c r="I31" s="118"/>
      <c r="J31" s="118"/>
      <c r="K31" s="118"/>
      <c r="L31" s="118"/>
      <c r="M31" s="118"/>
    </row>
    <row r="32">
      <c r="B32" s="120" t="s">
        <v>64</v>
      </c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</row>
    <row r="33">
      <c r="B33" s="120" t="s">
        <v>65</v>
      </c>
      <c r="C33" s="118"/>
      <c r="D33" s="118"/>
      <c r="E33" s="118"/>
      <c r="F33" s="118"/>
      <c r="G33" s="118"/>
      <c r="H33" s="118"/>
      <c r="I33" s="118"/>
      <c r="J33" s="118"/>
      <c r="M33" s="118"/>
    </row>
    <row r="34"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</row>
    <row r="35"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8"/>
    </row>
    <row r="36"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18"/>
      <c r="M36" s="118"/>
    </row>
    <row r="38">
      <c r="B38" s="121" t="s">
        <v>66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122"/>
      <c r="B39" s="123" t="s">
        <v>6</v>
      </c>
      <c r="C39" s="124" t="s">
        <v>7</v>
      </c>
      <c r="D39" s="125" t="s">
        <v>8</v>
      </c>
      <c r="E39" s="126" t="s">
        <v>9</v>
      </c>
      <c r="F39" s="126" t="s">
        <v>10</v>
      </c>
      <c r="G39" s="126" t="s">
        <v>11</v>
      </c>
      <c r="H39" s="126" t="s">
        <v>12</v>
      </c>
      <c r="I39" s="126" t="s">
        <v>13</v>
      </c>
      <c r="J39" s="126" t="s">
        <v>14</v>
      </c>
      <c r="K39" s="126" t="s">
        <v>15</v>
      </c>
      <c r="L39" s="126" t="s">
        <v>16</v>
      </c>
      <c r="M39" s="126" t="s">
        <v>17</v>
      </c>
      <c r="N39" s="126" t="s">
        <v>18</v>
      </c>
      <c r="O39" s="126" t="s">
        <v>19</v>
      </c>
      <c r="P39" s="126" t="s">
        <v>20</v>
      </c>
      <c r="Q39" s="126" t="s">
        <v>21</v>
      </c>
      <c r="R39" s="126" t="s">
        <v>22</v>
      </c>
      <c r="S39" s="126" t="s">
        <v>23</v>
      </c>
      <c r="T39" s="126" t="s">
        <v>24</v>
      </c>
      <c r="U39" s="126" t="s">
        <v>25</v>
      </c>
      <c r="V39" s="126" t="s">
        <v>26</v>
      </c>
      <c r="W39" s="126" t="s">
        <v>27</v>
      </c>
      <c r="X39" s="126" t="s">
        <v>28</v>
      </c>
      <c r="Y39" s="126" t="s">
        <v>29</v>
      </c>
      <c r="Z39" s="126" t="s">
        <v>30</v>
      </c>
      <c r="AA39" s="126" t="s">
        <v>31</v>
      </c>
      <c r="AB39" s="126" t="s">
        <v>32</v>
      </c>
    </row>
    <row r="40">
      <c r="A40" s="127"/>
      <c r="B40" s="128" t="s">
        <v>33</v>
      </c>
      <c r="C40" s="124" t="s">
        <v>34</v>
      </c>
      <c r="D40" s="129">
        <f t="shared" ref="D40:D59" si="8">ROUND(3.2 + (13*(Z:Z) + 3*((X:X) +(AA:AA)) - 2*(Y:Y))/(N:N), 2)</f>
        <v>2.31</v>
      </c>
      <c r="E40" s="130">
        <v>3.33</v>
      </c>
      <c r="F40" s="131">
        <f t="shared" ref="F40:F59" si="9">ROUND((D:D)-(E:E), 2)</f>
        <v>-1.02</v>
      </c>
      <c r="G40" s="132">
        <f t="shared" ref="G40:G59" si="10">ROUND(9*((V:V)/(N:N)), 2)</f>
        <v>4.19</v>
      </c>
      <c r="H40" s="133">
        <v>1.19</v>
      </c>
      <c r="I40" s="134">
        <v>10.94</v>
      </c>
      <c r="J40" s="135">
        <f t="shared" ref="J40:J59" si="11">ROUND((Y:Y)/(X:X), 2)</f>
        <v>4.84</v>
      </c>
      <c r="K40" s="136">
        <f t="shared" ref="K40:K59" si="12">ROUND(9*((X:X)/(N:N)), 2)</f>
        <v>2.27</v>
      </c>
      <c r="L40" s="137">
        <f t="shared" ref="L40:L59" si="13">ROUND(9*((Z:Z)/(N:N)), 2)</f>
        <v>0.36</v>
      </c>
      <c r="M40" s="138">
        <f t="shared" ref="M40:M59" si="14">ROUND(100*(Z:Z)/(U:U), 2)</f>
        <v>4.23</v>
      </c>
      <c r="N40" s="139">
        <v>75.2</v>
      </c>
      <c r="O40" s="123">
        <v>1.0</v>
      </c>
      <c r="P40" s="123">
        <v>14.0</v>
      </c>
      <c r="Q40" s="123">
        <v>13.0</v>
      </c>
      <c r="R40" s="123">
        <v>7.0</v>
      </c>
      <c r="S40" s="123">
        <v>1.0</v>
      </c>
      <c r="T40" s="123">
        <v>0.0</v>
      </c>
      <c r="U40" s="123">
        <v>71.0</v>
      </c>
      <c r="V40" s="123">
        <v>35.0</v>
      </c>
      <c r="W40" s="123">
        <v>28.0</v>
      </c>
      <c r="X40" s="123">
        <v>19.0</v>
      </c>
      <c r="Y40" s="123">
        <v>92.0</v>
      </c>
      <c r="Z40" s="123">
        <v>3.0</v>
      </c>
      <c r="AA40" s="123">
        <v>7.0</v>
      </c>
      <c r="AB40" s="123" t="s">
        <v>35</v>
      </c>
    </row>
    <row r="41">
      <c r="A41" s="140"/>
      <c r="B41" s="15" t="s">
        <v>42</v>
      </c>
      <c r="C41" s="141" t="s">
        <v>43</v>
      </c>
      <c r="D41" s="142">
        <f t="shared" si="8"/>
        <v>2.71</v>
      </c>
      <c r="E41" s="59">
        <v>5.18</v>
      </c>
      <c r="F41" s="60">
        <f t="shared" si="9"/>
        <v>-2.47</v>
      </c>
      <c r="G41" s="61">
        <f t="shared" si="10"/>
        <v>6.55</v>
      </c>
      <c r="H41" s="62">
        <v>1.53</v>
      </c>
      <c r="I41" s="63">
        <v>7.96</v>
      </c>
      <c r="J41" s="64">
        <f t="shared" si="11"/>
        <v>4.13</v>
      </c>
      <c r="K41" s="65">
        <f t="shared" si="12"/>
        <v>1.94</v>
      </c>
      <c r="L41" s="24">
        <f t="shared" si="13"/>
        <v>0.36</v>
      </c>
      <c r="M41" s="66">
        <f t="shared" si="14"/>
        <v>3.06</v>
      </c>
      <c r="N41" s="67">
        <v>74.2</v>
      </c>
      <c r="O41" s="12">
        <v>1.0</v>
      </c>
      <c r="P41" s="12">
        <v>15.0</v>
      </c>
      <c r="Q41" s="12">
        <v>14.0</v>
      </c>
      <c r="R41" s="12">
        <v>6.0</v>
      </c>
      <c r="S41" s="12">
        <v>7.0</v>
      </c>
      <c r="T41" s="12">
        <v>0.0</v>
      </c>
      <c r="U41" s="12">
        <v>98.0</v>
      </c>
      <c r="V41" s="12">
        <v>54.0</v>
      </c>
      <c r="W41" s="12">
        <v>43.0</v>
      </c>
      <c r="X41" s="12">
        <v>16.0</v>
      </c>
      <c r="Y41" s="12">
        <v>66.0</v>
      </c>
      <c r="Z41" s="12">
        <v>3.0</v>
      </c>
      <c r="AA41" s="12">
        <v>3.0</v>
      </c>
      <c r="AB41" s="12" t="s">
        <v>35</v>
      </c>
    </row>
    <row r="42">
      <c r="A42" s="140"/>
      <c r="B42" s="15" t="s">
        <v>36</v>
      </c>
      <c r="C42" s="141" t="s">
        <v>37</v>
      </c>
      <c r="D42" s="143">
        <f t="shared" si="8"/>
        <v>2.79</v>
      </c>
      <c r="E42" s="28">
        <v>3.91</v>
      </c>
      <c r="F42" s="29">
        <f t="shared" si="9"/>
        <v>-1.12</v>
      </c>
      <c r="G42" s="30">
        <f t="shared" si="10"/>
        <v>5.19</v>
      </c>
      <c r="H42" s="31">
        <v>1.11</v>
      </c>
      <c r="I42" s="32">
        <v>10.69</v>
      </c>
      <c r="J42" s="33">
        <f t="shared" si="11"/>
        <v>3.88</v>
      </c>
      <c r="K42" s="34">
        <f t="shared" si="12"/>
        <v>2.77</v>
      </c>
      <c r="L42" s="35">
        <f t="shared" si="13"/>
        <v>0.46</v>
      </c>
      <c r="M42" s="36">
        <f t="shared" si="14"/>
        <v>6.35</v>
      </c>
      <c r="N42" s="37">
        <v>78.1</v>
      </c>
      <c r="O42" s="12">
        <v>0.0</v>
      </c>
      <c r="P42" s="12">
        <v>18.0</v>
      </c>
      <c r="Q42" s="12">
        <v>16.0</v>
      </c>
      <c r="R42" s="12">
        <v>11.0</v>
      </c>
      <c r="S42" s="12">
        <v>4.0</v>
      </c>
      <c r="T42" s="12">
        <v>0.0</v>
      </c>
      <c r="U42" s="12">
        <v>63.0</v>
      </c>
      <c r="V42" s="12">
        <v>45.0</v>
      </c>
      <c r="W42" s="12">
        <v>34.0</v>
      </c>
      <c r="X42" s="12">
        <v>24.0</v>
      </c>
      <c r="Y42" s="12">
        <v>93.0</v>
      </c>
      <c r="Z42" s="12">
        <v>4.0</v>
      </c>
      <c r="AA42" s="12">
        <v>10.0</v>
      </c>
      <c r="AB42" s="12" t="s">
        <v>35</v>
      </c>
    </row>
    <row r="43">
      <c r="A43" s="140"/>
      <c r="B43" s="15" t="s">
        <v>40</v>
      </c>
      <c r="C43" s="141" t="s">
        <v>41</v>
      </c>
      <c r="D43" s="144">
        <f t="shared" si="8"/>
        <v>2.82</v>
      </c>
      <c r="E43" s="50">
        <v>3.01</v>
      </c>
      <c r="F43" s="51">
        <f t="shared" si="9"/>
        <v>-0.19</v>
      </c>
      <c r="G43" s="52">
        <f t="shared" si="10"/>
        <v>3.41</v>
      </c>
      <c r="H43" s="53">
        <v>1.12</v>
      </c>
      <c r="I43" s="54">
        <v>8.92</v>
      </c>
      <c r="J43" s="55">
        <f t="shared" si="11"/>
        <v>4.44</v>
      </c>
      <c r="K43" s="56">
        <f t="shared" si="12"/>
        <v>2.02</v>
      </c>
      <c r="L43" s="18">
        <f t="shared" si="13"/>
        <v>0.51</v>
      </c>
      <c r="M43" s="57">
        <f t="shared" si="14"/>
        <v>6.25</v>
      </c>
      <c r="N43" s="58">
        <v>71.2</v>
      </c>
      <c r="O43" s="12">
        <v>3.0</v>
      </c>
      <c r="P43" s="12">
        <v>14.0</v>
      </c>
      <c r="Q43" s="12">
        <v>14.0</v>
      </c>
      <c r="R43" s="12">
        <v>9.0</v>
      </c>
      <c r="S43" s="12">
        <v>1.0</v>
      </c>
      <c r="T43" s="12">
        <v>0.0</v>
      </c>
      <c r="U43" s="12">
        <v>64.0</v>
      </c>
      <c r="V43" s="12">
        <v>27.0</v>
      </c>
      <c r="W43" s="12">
        <v>24.0</v>
      </c>
      <c r="X43" s="12">
        <v>16.0</v>
      </c>
      <c r="Y43" s="12">
        <v>71.0</v>
      </c>
      <c r="Z43" s="12">
        <v>4.0</v>
      </c>
      <c r="AA43" s="12">
        <v>5.0</v>
      </c>
      <c r="AB43" s="12" t="s">
        <v>35</v>
      </c>
    </row>
    <row r="44">
      <c r="A44" s="140"/>
      <c r="B44" s="15" t="s">
        <v>44</v>
      </c>
      <c r="C44" s="141" t="s">
        <v>45</v>
      </c>
      <c r="D44" s="145">
        <f t="shared" si="8"/>
        <v>3</v>
      </c>
      <c r="E44" s="69">
        <v>3.97</v>
      </c>
      <c r="F44" s="70">
        <f t="shared" si="9"/>
        <v>-0.97</v>
      </c>
      <c r="G44" s="27">
        <f t="shared" si="10"/>
        <v>4.32</v>
      </c>
      <c r="H44" s="71">
        <v>1.21</v>
      </c>
      <c r="I44" s="72">
        <v>8.17</v>
      </c>
      <c r="J44" s="73">
        <f t="shared" si="11"/>
        <v>2.67</v>
      </c>
      <c r="K44" s="74">
        <f t="shared" si="12"/>
        <v>3.07</v>
      </c>
      <c r="L44" s="75">
        <f t="shared" si="13"/>
        <v>0.23</v>
      </c>
      <c r="M44" s="76">
        <f t="shared" si="14"/>
        <v>2.9</v>
      </c>
      <c r="N44" s="77">
        <v>79.1</v>
      </c>
      <c r="O44" s="12">
        <v>6.0</v>
      </c>
      <c r="P44" s="12">
        <v>15.0</v>
      </c>
      <c r="Q44" s="12">
        <v>12.0</v>
      </c>
      <c r="R44" s="12">
        <v>7.0</v>
      </c>
      <c r="S44" s="12">
        <v>0.0</v>
      </c>
      <c r="T44" s="12">
        <v>0.0</v>
      </c>
      <c r="U44" s="78">
        <v>69.0</v>
      </c>
      <c r="V44" s="78">
        <v>38.0</v>
      </c>
      <c r="W44" s="78">
        <v>35.0</v>
      </c>
      <c r="X44" s="78">
        <v>27.0</v>
      </c>
      <c r="Y44" s="78">
        <v>72.0</v>
      </c>
      <c r="Z44" s="12">
        <v>2.0</v>
      </c>
      <c r="AA44" s="12">
        <v>7.0</v>
      </c>
      <c r="AB44" s="12" t="s">
        <v>35</v>
      </c>
    </row>
    <row r="45">
      <c r="A45" s="140"/>
      <c r="B45" s="15" t="s">
        <v>38</v>
      </c>
      <c r="C45" s="141" t="s">
        <v>39</v>
      </c>
      <c r="D45" s="146">
        <f t="shared" si="8"/>
        <v>3.08</v>
      </c>
      <c r="E45" s="147">
        <v>3.72</v>
      </c>
      <c r="F45" s="148">
        <f t="shared" si="9"/>
        <v>-0.64</v>
      </c>
      <c r="G45" s="149">
        <f t="shared" si="10"/>
        <v>4.67</v>
      </c>
      <c r="H45" s="150">
        <v>1.23</v>
      </c>
      <c r="I45" s="43">
        <v>12.69</v>
      </c>
      <c r="J45" s="44">
        <f t="shared" si="11"/>
        <v>3.11</v>
      </c>
      <c r="K45" s="47">
        <f t="shared" si="12"/>
        <v>4.09</v>
      </c>
      <c r="L45" s="151">
        <f t="shared" si="13"/>
        <v>0.58</v>
      </c>
      <c r="M45" s="110">
        <f t="shared" si="14"/>
        <v>8.33</v>
      </c>
      <c r="N45" s="152">
        <v>77.1</v>
      </c>
      <c r="O45" s="12">
        <v>5.0</v>
      </c>
      <c r="P45" s="12">
        <v>14.0</v>
      </c>
      <c r="Q45" s="12">
        <v>14.0</v>
      </c>
      <c r="R45" s="12">
        <v>11.0</v>
      </c>
      <c r="S45" s="12">
        <v>1.0</v>
      </c>
      <c r="T45" s="12">
        <v>0.0</v>
      </c>
      <c r="U45" s="12">
        <v>60.0</v>
      </c>
      <c r="V45" s="12">
        <v>40.0</v>
      </c>
      <c r="W45" s="12">
        <v>32.0</v>
      </c>
      <c r="X45" s="12">
        <v>35.0</v>
      </c>
      <c r="Y45" s="12">
        <v>109.0</v>
      </c>
      <c r="Z45" s="12">
        <v>5.0</v>
      </c>
      <c r="AA45" s="12">
        <v>13.0</v>
      </c>
      <c r="AB45" s="12" t="s">
        <v>35</v>
      </c>
    </row>
    <row r="46">
      <c r="A46" s="140"/>
      <c r="B46" s="15" t="s">
        <v>46</v>
      </c>
      <c r="C46" s="141" t="s">
        <v>47</v>
      </c>
      <c r="D46" s="153">
        <f t="shared" si="8"/>
        <v>3.11</v>
      </c>
      <c r="E46" s="80">
        <v>6.33</v>
      </c>
      <c r="F46" s="154">
        <f t="shared" si="9"/>
        <v>-3.22</v>
      </c>
      <c r="G46" s="155">
        <f t="shared" si="10"/>
        <v>7.67</v>
      </c>
      <c r="H46" s="156">
        <v>1.69</v>
      </c>
      <c r="I46" s="84">
        <v>10.87</v>
      </c>
      <c r="J46" s="85">
        <f t="shared" si="11"/>
        <v>3.64</v>
      </c>
      <c r="K46" s="157">
        <f t="shared" si="12"/>
        <v>3</v>
      </c>
      <c r="L46" s="158">
        <f t="shared" si="13"/>
        <v>0.84</v>
      </c>
      <c r="M46" s="159">
        <f t="shared" si="14"/>
        <v>6.86</v>
      </c>
      <c r="N46" s="88">
        <v>75.1</v>
      </c>
      <c r="O46" s="12">
        <v>0.0</v>
      </c>
      <c r="P46" s="12">
        <v>16.0</v>
      </c>
      <c r="Q46" s="12">
        <v>0.0</v>
      </c>
      <c r="R46" s="12">
        <v>6.0</v>
      </c>
      <c r="S46" s="12">
        <v>5.0</v>
      </c>
      <c r="T46" s="12">
        <v>0.0</v>
      </c>
      <c r="U46" s="12">
        <v>102.0</v>
      </c>
      <c r="V46" s="12">
        <v>64.0</v>
      </c>
      <c r="W46" s="160">
        <v>53.0</v>
      </c>
      <c r="X46" s="12">
        <v>25.0</v>
      </c>
      <c r="Y46" s="12">
        <v>91.0</v>
      </c>
      <c r="Z46" s="12">
        <v>7.0</v>
      </c>
      <c r="AA46" s="12">
        <v>3.0</v>
      </c>
      <c r="AB46" s="12" t="s">
        <v>35</v>
      </c>
    </row>
    <row r="47">
      <c r="A47" s="140"/>
      <c r="B47" s="15" t="s">
        <v>48</v>
      </c>
      <c r="C47" s="141" t="s">
        <v>49</v>
      </c>
      <c r="D47" s="161">
        <f t="shared" si="8"/>
        <v>3.37</v>
      </c>
      <c r="E47" s="162">
        <v>5.28</v>
      </c>
      <c r="F47" s="163">
        <f t="shared" si="9"/>
        <v>-1.91</v>
      </c>
      <c r="G47" s="164">
        <f t="shared" si="10"/>
        <v>7.29</v>
      </c>
      <c r="H47" s="165">
        <v>1.48</v>
      </c>
      <c r="I47" s="93">
        <v>5.59</v>
      </c>
      <c r="J47" s="166">
        <f t="shared" si="11"/>
        <v>2.25</v>
      </c>
      <c r="K47" s="167">
        <f t="shared" si="12"/>
        <v>2.48</v>
      </c>
      <c r="L47" s="168">
        <f t="shared" si="13"/>
        <v>0.16</v>
      </c>
      <c r="M47" s="169">
        <f t="shared" si="14"/>
        <v>1.43</v>
      </c>
      <c r="N47" s="98">
        <v>58.0</v>
      </c>
      <c r="O47" s="12">
        <v>0.0</v>
      </c>
      <c r="P47" s="12">
        <v>12.0</v>
      </c>
      <c r="Q47" s="12">
        <v>0.0</v>
      </c>
      <c r="R47" s="12">
        <v>3.0</v>
      </c>
      <c r="S47" s="12">
        <v>4.0</v>
      </c>
      <c r="T47" s="12">
        <v>0.0</v>
      </c>
      <c r="U47" s="12">
        <v>70.0</v>
      </c>
      <c r="V47" s="12">
        <v>47.0</v>
      </c>
      <c r="W47" s="12">
        <v>34.0</v>
      </c>
      <c r="X47" s="12">
        <v>16.0</v>
      </c>
      <c r="Y47" s="12">
        <v>36.0</v>
      </c>
      <c r="Z47" s="12">
        <v>1.0</v>
      </c>
      <c r="AA47" s="12">
        <v>7.0</v>
      </c>
      <c r="AB47" s="12" t="s">
        <v>35</v>
      </c>
    </row>
    <row r="48">
      <c r="A48" s="140"/>
      <c r="B48" s="15" t="s">
        <v>50</v>
      </c>
      <c r="C48" s="141" t="s">
        <v>51</v>
      </c>
      <c r="D48" s="170">
        <f t="shared" si="8"/>
        <v>3.39</v>
      </c>
      <c r="E48" s="171">
        <v>4.17</v>
      </c>
      <c r="F48" s="172">
        <f t="shared" si="9"/>
        <v>-0.78</v>
      </c>
      <c r="G48" s="173">
        <f t="shared" si="10"/>
        <v>4.8</v>
      </c>
      <c r="H48" s="174">
        <v>1.32</v>
      </c>
      <c r="I48" s="175">
        <v>9.87</v>
      </c>
      <c r="J48" s="104">
        <f t="shared" si="11"/>
        <v>3.37</v>
      </c>
      <c r="K48" s="176">
        <f t="shared" si="12"/>
        <v>2.94</v>
      </c>
      <c r="L48" s="177">
        <f t="shared" si="13"/>
        <v>0.62</v>
      </c>
      <c r="M48" s="178">
        <f t="shared" si="14"/>
        <v>6.9</v>
      </c>
      <c r="N48" s="106">
        <v>58.1</v>
      </c>
      <c r="O48" s="12">
        <v>0.0</v>
      </c>
      <c r="P48" s="12">
        <v>14.0</v>
      </c>
      <c r="Q48" s="12">
        <v>12.0</v>
      </c>
      <c r="R48" s="12">
        <v>3.0</v>
      </c>
      <c r="S48" s="12">
        <v>2.0</v>
      </c>
      <c r="T48" s="12">
        <v>1.0</v>
      </c>
      <c r="U48" s="12">
        <v>58.0</v>
      </c>
      <c r="V48" s="12">
        <v>31.0</v>
      </c>
      <c r="W48" s="12">
        <v>27.0</v>
      </c>
      <c r="X48" s="12">
        <v>19.0</v>
      </c>
      <c r="Y48" s="12">
        <v>64.0</v>
      </c>
      <c r="Z48" s="12">
        <v>4.0</v>
      </c>
      <c r="AA48" s="12">
        <v>10.0</v>
      </c>
      <c r="AB48" s="12" t="s">
        <v>35</v>
      </c>
    </row>
    <row r="49">
      <c r="A49" s="140"/>
      <c r="B49" s="15" t="s">
        <v>67</v>
      </c>
      <c r="C49" s="141" t="s">
        <v>68</v>
      </c>
      <c r="D49" s="179">
        <f t="shared" si="8"/>
        <v>3.47</v>
      </c>
      <c r="E49" s="180">
        <v>5.29</v>
      </c>
      <c r="F49" s="181">
        <f t="shared" si="9"/>
        <v>-1.82</v>
      </c>
      <c r="G49" s="182">
        <f t="shared" si="10"/>
        <v>6</v>
      </c>
      <c r="H49" s="183">
        <v>1.73</v>
      </c>
      <c r="I49" s="184">
        <v>6.0</v>
      </c>
      <c r="J49" s="185">
        <f t="shared" si="11"/>
        <v>1.89</v>
      </c>
      <c r="K49" s="186">
        <f t="shared" si="12"/>
        <v>3.18</v>
      </c>
      <c r="L49" s="187">
        <f t="shared" si="13"/>
        <v>0.18</v>
      </c>
      <c r="M49" s="169">
        <f t="shared" si="14"/>
        <v>1.43</v>
      </c>
      <c r="N49" s="188">
        <v>51.0</v>
      </c>
      <c r="O49" s="12">
        <v>1.0</v>
      </c>
      <c r="P49" s="12">
        <v>12.0</v>
      </c>
      <c r="Q49" s="12">
        <v>11.0</v>
      </c>
      <c r="R49" s="12">
        <v>7.0</v>
      </c>
      <c r="S49" s="12">
        <v>2.0</v>
      </c>
      <c r="T49" s="12">
        <v>0.0</v>
      </c>
      <c r="U49" s="12">
        <v>70.0</v>
      </c>
      <c r="V49" s="12">
        <v>34.0</v>
      </c>
      <c r="W49" s="12">
        <v>30.0</v>
      </c>
      <c r="X49" s="12">
        <v>18.0</v>
      </c>
      <c r="Y49" s="12">
        <v>34.0</v>
      </c>
      <c r="Z49" s="12">
        <v>1.0</v>
      </c>
      <c r="AA49" s="12">
        <v>5.0</v>
      </c>
      <c r="AB49" s="12" t="s">
        <v>35</v>
      </c>
    </row>
    <row r="50">
      <c r="A50" s="140"/>
      <c r="B50" s="15" t="s">
        <v>69</v>
      </c>
      <c r="C50" s="141" t="s">
        <v>70</v>
      </c>
      <c r="D50" s="189">
        <f t="shared" si="8"/>
        <v>3.51</v>
      </c>
      <c r="E50" s="190">
        <v>5.48</v>
      </c>
      <c r="F50" s="191">
        <f t="shared" si="9"/>
        <v>-1.97</v>
      </c>
      <c r="G50" s="180">
        <f t="shared" si="10"/>
        <v>6.61</v>
      </c>
      <c r="H50" s="178">
        <v>1.47</v>
      </c>
      <c r="I50" s="18">
        <v>9.28</v>
      </c>
      <c r="J50" s="192">
        <f t="shared" si="11"/>
        <v>3.47</v>
      </c>
      <c r="K50" s="24">
        <f t="shared" si="12"/>
        <v>2.67</v>
      </c>
      <c r="L50" s="193">
        <f t="shared" si="13"/>
        <v>0.7</v>
      </c>
      <c r="M50" s="194">
        <f t="shared" si="14"/>
        <v>6.67</v>
      </c>
      <c r="N50" s="195">
        <v>64.0</v>
      </c>
      <c r="O50" s="12">
        <v>2.0</v>
      </c>
      <c r="P50" s="12">
        <v>16.0</v>
      </c>
      <c r="Q50" s="12">
        <v>6.0</v>
      </c>
      <c r="R50" s="12">
        <v>4.0</v>
      </c>
      <c r="S50" s="12">
        <v>5.0</v>
      </c>
      <c r="T50" s="12">
        <v>2.0</v>
      </c>
      <c r="U50" s="12">
        <v>75.0</v>
      </c>
      <c r="V50" s="12">
        <v>47.0</v>
      </c>
      <c r="W50" s="12">
        <v>39.0</v>
      </c>
      <c r="X50" s="12">
        <v>19.0</v>
      </c>
      <c r="Y50" s="12">
        <v>66.0</v>
      </c>
      <c r="Z50" s="12">
        <v>5.0</v>
      </c>
      <c r="AA50" s="12">
        <v>10.0</v>
      </c>
      <c r="AB50" s="12" t="s">
        <v>35</v>
      </c>
    </row>
    <row r="51">
      <c r="A51" s="140"/>
      <c r="B51" s="15" t="s">
        <v>71</v>
      </c>
      <c r="C51" s="141" t="s">
        <v>72</v>
      </c>
      <c r="D51" s="196">
        <f t="shared" si="8"/>
        <v>3.57</v>
      </c>
      <c r="E51" s="197">
        <v>6.96</v>
      </c>
      <c r="F51" s="198">
        <f t="shared" si="9"/>
        <v>-3.39</v>
      </c>
      <c r="G51" s="199">
        <f t="shared" si="10"/>
        <v>7.32</v>
      </c>
      <c r="H51" s="104">
        <v>1.34</v>
      </c>
      <c r="I51" s="200">
        <v>5.47</v>
      </c>
      <c r="J51" s="201">
        <f t="shared" si="11"/>
        <v>1.65</v>
      </c>
      <c r="K51" s="202">
        <f t="shared" si="12"/>
        <v>3.33</v>
      </c>
      <c r="L51" s="49">
        <f t="shared" si="13"/>
        <v>0.33</v>
      </c>
      <c r="M51" s="203">
        <f t="shared" si="14"/>
        <v>3.77</v>
      </c>
      <c r="N51" s="204">
        <v>54.1</v>
      </c>
      <c r="O51" s="12">
        <v>0.0</v>
      </c>
      <c r="P51" s="12">
        <v>23.0</v>
      </c>
      <c r="Q51" s="12">
        <v>0.0</v>
      </c>
      <c r="R51" s="12">
        <v>4.0</v>
      </c>
      <c r="S51" s="12">
        <v>4.0</v>
      </c>
      <c r="T51" s="12">
        <v>1.0</v>
      </c>
      <c r="U51" s="12">
        <v>53.0</v>
      </c>
      <c r="V51" s="12">
        <v>44.0</v>
      </c>
      <c r="W51" s="12">
        <v>42.0</v>
      </c>
      <c r="X51" s="12">
        <v>20.0</v>
      </c>
      <c r="Y51" s="12">
        <v>33.0</v>
      </c>
      <c r="Z51" s="12">
        <v>2.0</v>
      </c>
      <c r="AA51" s="205"/>
      <c r="AB51" s="12" t="s">
        <v>35</v>
      </c>
    </row>
    <row r="52">
      <c r="A52" s="140"/>
      <c r="B52" s="15" t="s">
        <v>73</v>
      </c>
      <c r="C52" s="206" t="s">
        <v>74</v>
      </c>
      <c r="D52" s="207">
        <f t="shared" si="8"/>
        <v>3.58</v>
      </c>
      <c r="E52" s="102">
        <v>3.95</v>
      </c>
      <c r="F52" s="208">
        <f t="shared" si="9"/>
        <v>-0.37</v>
      </c>
      <c r="G52" s="209">
        <f t="shared" si="10"/>
        <v>5.32</v>
      </c>
      <c r="H52" s="210">
        <v>1.62</v>
      </c>
      <c r="I52" s="211">
        <v>7.77</v>
      </c>
      <c r="J52" s="93">
        <f t="shared" si="11"/>
        <v>1.36</v>
      </c>
      <c r="K52" s="212">
        <f t="shared" si="12"/>
        <v>5.73</v>
      </c>
      <c r="L52" s="213">
        <f t="shared" si="13"/>
        <v>0.14</v>
      </c>
      <c r="M52" s="214">
        <f t="shared" si="14"/>
        <v>1.54</v>
      </c>
      <c r="N52" s="215">
        <v>66.0</v>
      </c>
      <c r="O52" s="12">
        <v>1.0</v>
      </c>
      <c r="P52" s="12">
        <v>18.0</v>
      </c>
      <c r="Q52" s="12">
        <v>6.0</v>
      </c>
      <c r="R52" s="12">
        <v>6.0</v>
      </c>
      <c r="S52" s="12">
        <v>4.0</v>
      </c>
      <c r="T52" s="12">
        <v>1.0</v>
      </c>
      <c r="U52" s="12">
        <v>65.0</v>
      </c>
      <c r="V52" s="12">
        <v>39.0</v>
      </c>
      <c r="W52" s="12">
        <v>29.0</v>
      </c>
      <c r="X52" s="12">
        <v>42.0</v>
      </c>
      <c r="Y52" s="12">
        <v>57.0</v>
      </c>
      <c r="Z52" s="12">
        <v>1.0</v>
      </c>
      <c r="AA52" s="12">
        <v>0.0</v>
      </c>
      <c r="AB52" s="12" t="s">
        <v>35</v>
      </c>
    </row>
    <row r="53">
      <c r="A53" s="140"/>
      <c r="B53" s="15" t="s">
        <v>75</v>
      </c>
      <c r="C53" s="141" t="s">
        <v>68</v>
      </c>
      <c r="D53" s="216">
        <f t="shared" si="8"/>
        <v>3.61</v>
      </c>
      <c r="E53" s="217">
        <v>2.64</v>
      </c>
      <c r="F53" s="218">
        <f t="shared" si="9"/>
        <v>0.97</v>
      </c>
      <c r="G53" s="16">
        <f t="shared" si="10"/>
        <v>3.6</v>
      </c>
      <c r="H53" s="71">
        <v>1.21</v>
      </c>
      <c r="I53" s="219">
        <v>4.8</v>
      </c>
      <c r="J53" s="220">
        <f t="shared" si="11"/>
        <v>1.67</v>
      </c>
      <c r="K53" s="221">
        <f t="shared" si="12"/>
        <v>2.88</v>
      </c>
      <c r="L53" s="24">
        <f t="shared" si="13"/>
        <v>0.36</v>
      </c>
      <c r="M53" s="68">
        <f t="shared" si="14"/>
        <v>4.48</v>
      </c>
      <c r="N53" s="88">
        <v>75.0</v>
      </c>
      <c r="O53" s="222">
        <v>6.0</v>
      </c>
      <c r="P53" s="12">
        <v>13.0</v>
      </c>
      <c r="Q53" s="12">
        <v>12.0</v>
      </c>
      <c r="R53" s="12">
        <v>7.0</v>
      </c>
      <c r="S53" s="12">
        <v>3.0</v>
      </c>
      <c r="T53" s="12">
        <v>0.0</v>
      </c>
      <c r="U53" s="12">
        <v>67.0</v>
      </c>
      <c r="V53" s="12">
        <v>30.0</v>
      </c>
      <c r="W53" s="12">
        <v>22.0</v>
      </c>
      <c r="X53" s="12">
        <v>24.0</v>
      </c>
      <c r="Y53" s="12">
        <v>40.0</v>
      </c>
      <c r="Z53" s="12">
        <v>3.0</v>
      </c>
      <c r="AA53" s="12">
        <v>0.0</v>
      </c>
      <c r="AB53" s="12" t="s">
        <v>35</v>
      </c>
    </row>
    <row r="54">
      <c r="A54" s="140"/>
      <c r="B54" s="15" t="s">
        <v>76</v>
      </c>
      <c r="C54" s="141" t="s">
        <v>34</v>
      </c>
      <c r="D54" s="223">
        <f t="shared" si="8"/>
        <v>3.66</v>
      </c>
      <c r="E54" s="224">
        <v>5.91</v>
      </c>
      <c r="F54" s="225">
        <f t="shared" si="9"/>
        <v>-2.25</v>
      </c>
      <c r="G54" s="226">
        <f t="shared" si="10"/>
        <v>6.9</v>
      </c>
      <c r="H54" s="30">
        <v>1.35</v>
      </c>
      <c r="I54" s="227">
        <v>11.34</v>
      </c>
      <c r="J54" s="39">
        <f t="shared" si="11"/>
        <v>3.94</v>
      </c>
      <c r="K54" s="101">
        <f t="shared" si="12"/>
        <v>2.89</v>
      </c>
      <c r="L54" s="228">
        <f t="shared" si="13"/>
        <v>0.96</v>
      </c>
      <c r="M54" s="229">
        <f t="shared" si="14"/>
        <v>10.34</v>
      </c>
      <c r="N54" s="230">
        <v>56.1</v>
      </c>
      <c r="O54" s="12">
        <v>0.0</v>
      </c>
      <c r="P54" s="12">
        <v>31.0</v>
      </c>
      <c r="Q54" s="12">
        <v>0.0</v>
      </c>
      <c r="R54" s="12">
        <v>6.0</v>
      </c>
      <c r="S54" s="12">
        <v>4.0</v>
      </c>
      <c r="T54" s="222">
        <v>11.0</v>
      </c>
      <c r="U54" s="12">
        <v>58.0</v>
      </c>
      <c r="V54" s="12">
        <v>43.0</v>
      </c>
      <c r="W54" s="12">
        <v>37.0</v>
      </c>
      <c r="X54" s="12">
        <v>18.0</v>
      </c>
      <c r="Y54" s="12">
        <v>71.0</v>
      </c>
      <c r="Z54" s="12">
        <v>6.0</v>
      </c>
      <c r="AA54" s="12">
        <v>12.0</v>
      </c>
      <c r="AB54" s="12" t="s">
        <v>35</v>
      </c>
    </row>
    <row r="55">
      <c r="A55" s="140"/>
      <c r="B55" s="15" t="s">
        <v>77</v>
      </c>
      <c r="C55" s="141" t="s">
        <v>78</v>
      </c>
      <c r="D55" s="231">
        <f t="shared" si="8"/>
        <v>3.71</v>
      </c>
      <c r="E55" s="232">
        <v>6.24</v>
      </c>
      <c r="F55" s="233">
        <f t="shared" si="9"/>
        <v>-2.53</v>
      </c>
      <c r="G55" s="234">
        <f t="shared" si="10"/>
        <v>7.46</v>
      </c>
      <c r="H55" s="235">
        <v>1.43</v>
      </c>
      <c r="I55" s="236">
        <v>12.83</v>
      </c>
      <c r="J55" s="237">
        <f t="shared" si="11"/>
        <v>2</v>
      </c>
      <c r="K55" s="238">
        <f t="shared" si="12"/>
        <v>6.44</v>
      </c>
      <c r="L55" s="239">
        <f t="shared" si="13"/>
        <v>0.34</v>
      </c>
      <c r="M55" s="74">
        <f t="shared" si="14"/>
        <v>5.26</v>
      </c>
      <c r="N55" s="240">
        <v>53.1</v>
      </c>
      <c r="O55" s="12">
        <v>1.0</v>
      </c>
      <c r="P55" s="12">
        <v>13.0</v>
      </c>
      <c r="Q55" s="12">
        <v>12.0</v>
      </c>
      <c r="R55" s="12">
        <v>3.0</v>
      </c>
      <c r="S55" s="12">
        <v>5.0</v>
      </c>
      <c r="T55" s="12">
        <v>0.0</v>
      </c>
      <c r="U55" s="12">
        <v>38.0</v>
      </c>
      <c r="V55" s="12">
        <v>44.0</v>
      </c>
      <c r="W55" s="12">
        <v>37.0</v>
      </c>
      <c r="X55" s="12">
        <v>38.0</v>
      </c>
      <c r="Y55" s="12">
        <v>76.0</v>
      </c>
      <c r="Z55" s="12">
        <v>2.0</v>
      </c>
      <c r="AA55" s="12">
        <v>13.0</v>
      </c>
      <c r="AB55" s="12" t="s">
        <v>35</v>
      </c>
    </row>
    <row r="56">
      <c r="A56" s="140"/>
      <c r="B56" s="15" t="s">
        <v>79</v>
      </c>
      <c r="C56" s="141" t="s">
        <v>80</v>
      </c>
      <c r="D56" s="241">
        <f t="shared" si="8"/>
        <v>3.75</v>
      </c>
      <c r="E56" s="242">
        <v>5.37</v>
      </c>
      <c r="F56" s="243">
        <f t="shared" si="9"/>
        <v>-1.62</v>
      </c>
      <c r="G56" s="244">
        <f t="shared" si="10"/>
        <v>7.26</v>
      </c>
      <c r="H56" s="92">
        <v>1.49</v>
      </c>
      <c r="I56" s="245">
        <v>11.03</v>
      </c>
      <c r="J56" s="246">
        <f t="shared" si="11"/>
        <v>2.23</v>
      </c>
      <c r="K56" s="247">
        <f t="shared" si="12"/>
        <v>4.98</v>
      </c>
      <c r="L56" s="248">
        <f t="shared" si="13"/>
        <v>0.71</v>
      </c>
      <c r="M56" s="110">
        <f t="shared" si="14"/>
        <v>8.33</v>
      </c>
      <c r="N56" s="249">
        <v>63.2</v>
      </c>
      <c r="O56" s="12">
        <v>4.0</v>
      </c>
      <c r="P56" s="12">
        <v>13.0</v>
      </c>
      <c r="Q56" s="12">
        <v>13.0</v>
      </c>
      <c r="R56" s="12">
        <v>6.0</v>
      </c>
      <c r="S56" s="12">
        <v>2.0</v>
      </c>
      <c r="T56" s="12">
        <v>0.0</v>
      </c>
      <c r="U56" s="12">
        <v>60.0</v>
      </c>
      <c r="V56" s="12">
        <v>51.0</v>
      </c>
      <c r="W56" s="12">
        <v>38.0</v>
      </c>
      <c r="X56" s="12">
        <v>35.0</v>
      </c>
      <c r="Y56" s="12">
        <v>78.0</v>
      </c>
      <c r="Z56" s="12">
        <v>5.0</v>
      </c>
      <c r="AA56" s="12">
        <v>7.0</v>
      </c>
      <c r="AB56" s="12" t="s">
        <v>35</v>
      </c>
    </row>
    <row r="57">
      <c r="A57" s="140"/>
      <c r="B57" s="15" t="s">
        <v>81</v>
      </c>
      <c r="C57" s="141" t="s">
        <v>82</v>
      </c>
      <c r="D57" s="250">
        <f t="shared" si="8"/>
        <v>3.78</v>
      </c>
      <c r="E57" s="251">
        <v>5.33</v>
      </c>
      <c r="F57" s="252">
        <f t="shared" si="9"/>
        <v>-1.55</v>
      </c>
      <c r="G57" s="253">
        <f t="shared" si="10"/>
        <v>7.71</v>
      </c>
      <c r="H57" s="113">
        <v>3.08</v>
      </c>
      <c r="I57" s="183">
        <v>8.35</v>
      </c>
      <c r="J57" s="254">
        <f t="shared" si="11"/>
        <v>1.34</v>
      </c>
      <c r="K57" s="255">
        <f t="shared" si="12"/>
        <v>6.27</v>
      </c>
      <c r="L57" s="256">
        <f t="shared" si="13"/>
        <v>0</v>
      </c>
      <c r="M57" s="256">
        <f t="shared" si="14"/>
        <v>0</v>
      </c>
      <c r="N57" s="257">
        <v>50.2</v>
      </c>
      <c r="O57" s="12">
        <v>2.0</v>
      </c>
      <c r="P57" s="12">
        <v>11.0</v>
      </c>
      <c r="Q57" s="12">
        <v>5.0</v>
      </c>
      <c r="R57" s="12">
        <v>4.0</v>
      </c>
      <c r="S57" s="12">
        <v>3.0</v>
      </c>
      <c r="T57" s="12">
        <v>0.0</v>
      </c>
      <c r="U57" s="12">
        <v>121.0</v>
      </c>
      <c r="V57" s="12">
        <v>43.0</v>
      </c>
      <c r="W57" s="12">
        <v>30.0</v>
      </c>
      <c r="X57" s="12">
        <v>35.0</v>
      </c>
      <c r="Y57" s="12">
        <v>47.0</v>
      </c>
      <c r="Z57" s="12">
        <v>0.0</v>
      </c>
      <c r="AA57" s="12">
        <v>6.0</v>
      </c>
      <c r="AB57" s="12" t="s">
        <v>35</v>
      </c>
    </row>
    <row r="58">
      <c r="A58" s="140"/>
      <c r="B58" s="15" t="s">
        <v>83</v>
      </c>
      <c r="C58" s="141" t="s">
        <v>84</v>
      </c>
      <c r="D58" s="258">
        <f t="shared" si="8"/>
        <v>3.8</v>
      </c>
      <c r="E58" s="259">
        <v>3.45</v>
      </c>
      <c r="F58" s="260">
        <f t="shared" si="9"/>
        <v>0.35</v>
      </c>
      <c r="G58" s="173">
        <f t="shared" si="10"/>
        <v>4.8</v>
      </c>
      <c r="H58" s="151">
        <v>1.52</v>
      </c>
      <c r="I58" s="261">
        <v>7.2</v>
      </c>
      <c r="J58" s="262">
        <f t="shared" si="11"/>
        <v>1.3</v>
      </c>
      <c r="K58" s="263">
        <f t="shared" si="12"/>
        <v>5.55</v>
      </c>
      <c r="L58" s="256">
        <f t="shared" si="13"/>
        <v>0</v>
      </c>
      <c r="M58" s="256">
        <f t="shared" si="14"/>
        <v>0</v>
      </c>
      <c r="N58" s="264">
        <v>60.0</v>
      </c>
      <c r="O58" s="12">
        <v>1.0</v>
      </c>
      <c r="P58" s="12">
        <v>13.0</v>
      </c>
      <c r="Q58" s="12">
        <v>10.0</v>
      </c>
      <c r="R58" s="12">
        <v>3.0</v>
      </c>
      <c r="S58" s="12">
        <v>1.0</v>
      </c>
      <c r="T58" s="12">
        <v>0.0</v>
      </c>
      <c r="U58" s="12">
        <v>54.0</v>
      </c>
      <c r="V58" s="12">
        <v>32.0</v>
      </c>
      <c r="W58" s="12">
        <v>23.0</v>
      </c>
      <c r="X58" s="12">
        <v>37.0</v>
      </c>
      <c r="Y58" s="12">
        <v>48.0</v>
      </c>
      <c r="Z58" s="12">
        <v>0.0</v>
      </c>
      <c r="AA58" s="12">
        <v>7.0</v>
      </c>
      <c r="AB58" s="12" t="s">
        <v>35</v>
      </c>
    </row>
    <row r="59">
      <c r="A59" s="140"/>
      <c r="B59" s="15" t="s">
        <v>85</v>
      </c>
      <c r="C59" s="141" t="s">
        <v>86</v>
      </c>
      <c r="D59" s="265">
        <f t="shared" si="8"/>
        <v>3.82</v>
      </c>
      <c r="E59" s="156">
        <v>4.9</v>
      </c>
      <c r="F59" s="266">
        <f t="shared" si="9"/>
        <v>-1.08</v>
      </c>
      <c r="G59" s="57">
        <f t="shared" si="10"/>
        <v>5.56</v>
      </c>
      <c r="H59" s="267">
        <v>1.41</v>
      </c>
      <c r="I59" s="43">
        <v>12.68</v>
      </c>
      <c r="J59" s="18">
        <f t="shared" si="11"/>
        <v>2.53</v>
      </c>
      <c r="K59" s="268">
        <f t="shared" si="12"/>
        <v>5.06</v>
      </c>
      <c r="L59" s="269">
        <f t="shared" si="13"/>
        <v>1.14</v>
      </c>
      <c r="M59" s="270">
        <f t="shared" si="14"/>
        <v>14.75</v>
      </c>
      <c r="N59" s="58">
        <v>71.2</v>
      </c>
      <c r="O59" s="12">
        <v>1.0</v>
      </c>
      <c r="P59" s="12">
        <v>18.0</v>
      </c>
      <c r="Q59" s="12">
        <v>11.0</v>
      </c>
      <c r="R59" s="12">
        <v>9.0</v>
      </c>
      <c r="S59" s="12">
        <v>2.0</v>
      </c>
      <c r="T59" s="12">
        <v>0.0</v>
      </c>
      <c r="U59" s="12">
        <v>61.0</v>
      </c>
      <c r="V59" s="12">
        <v>44.0</v>
      </c>
      <c r="W59" s="12">
        <v>39.0</v>
      </c>
      <c r="X59" s="12">
        <v>40.0</v>
      </c>
      <c r="Y59" s="12">
        <v>101.0</v>
      </c>
      <c r="Z59" s="12">
        <v>9.0</v>
      </c>
      <c r="AA59" s="12">
        <v>3.0</v>
      </c>
      <c r="AB59" s="12" t="s">
        <v>35</v>
      </c>
    </row>
    <row r="61">
      <c r="B61" s="117" t="s">
        <v>87</v>
      </c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B65" s="121" t="s">
        <v>88</v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122"/>
      <c r="B66" s="123" t="s">
        <v>6</v>
      </c>
      <c r="C66" s="124" t="s">
        <v>7</v>
      </c>
      <c r="D66" s="271" t="s">
        <v>8</v>
      </c>
      <c r="E66" s="272" t="s">
        <v>9</v>
      </c>
      <c r="F66" s="125" t="s">
        <v>10</v>
      </c>
      <c r="G66" s="126" t="s">
        <v>11</v>
      </c>
      <c r="H66" s="126" t="s">
        <v>12</v>
      </c>
      <c r="I66" s="126" t="s">
        <v>13</v>
      </c>
      <c r="J66" s="126" t="s">
        <v>14</v>
      </c>
      <c r="K66" s="126" t="s">
        <v>15</v>
      </c>
      <c r="L66" s="126" t="s">
        <v>16</v>
      </c>
      <c r="M66" s="126" t="s">
        <v>17</v>
      </c>
      <c r="N66" s="126" t="s">
        <v>18</v>
      </c>
      <c r="O66" s="126" t="s">
        <v>19</v>
      </c>
      <c r="P66" s="126" t="s">
        <v>20</v>
      </c>
      <c r="Q66" s="126" t="s">
        <v>21</v>
      </c>
      <c r="R66" s="126" t="s">
        <v>22</v>
      </c>
      <c r="S66" s="126" t="s">
        <v>23</v>
      </c>
      <c r="T66" s="126" t="s">
        <v>24</v>
      </c>
      <c r="U66" s="126" t="s">
        <v>25</v>
      </c>
      <c r="V66" s="126" t="s">
        <v>26</v>
      </c>
      <c r="W66" s="126" t="s">
        <v>27</v>
      </c>
      <c r="X66" s="126" t="s">
        <v>28</v>
      </c>
      <c r="Y66" s="126" t="s">
        <v>29</v>
      </c>
      <c r="Z66" s="126" t="s">
        <v>30</v>
      </c>
      <c r="AA66" s="126" t="s">
        <v>31</v>
      </c>
      <c r="AB66" s="126" t="s">
        <v>32</v>
      </c>
    </row>
    <row r="67">
      <c r="A67" s="127"/>
      <c r="B67" s="128" t="s">
        <v>71</v>
      </c>
      <c r="C67" s="124" t="s">
        <v>72</v>
      </c>
      <c r="D67" s="273">
        <f t="shared" ref="D67:D86" si="15">ROUND(3.2 + (13*(Z:Z) + 3*((X:X) +(AA:AA)) - 2*(Y:Y))/(N:N), 2)</f>
        <v>3.57</v>
      </c>
      <c r="E67" s="274">
        <v>6.96</v>
      </c>
      <c r="F67" s="275">
        <f t="shared" ref="F67:F86" si="16">ROUND((D:D)-(E:E), 2)</f>
        <v>-3.39</v>
      </c>
      <c r="G67" s="276">
        <f t="shared" ref="G67:G86" si="17">ROUND(9*((V:V)/(N:N)), 2)</f>
        <v>7.32</v>
      </c>
      <c r="H67" s="277">
        <v>1.34</v>
      </c>
      <c r="I67" s="278">
        <v>5.47</v>
      </c>
      <c r="J67" s="279">
        <f t="shared" ref="J67:J86" si="18">ROUND((Y:Y)/(X:X), 2)</f>
        <v>1.65</v>
      </c>
      <c r="K67" s="280">
        <f t="shared" ref="K67:K86" si="19">ROUND(9*((X:X)/(N:N)), 2)</f>
        <v>3.33</v>
      </c>
      <c r="L67" s="281">
        <f t="shared" ref="L67:L86" si="20">ROUND(9*((Z:Z)/(N:N)), 2)</f>
        <v>0.33</v>
      </c>
      <c r="M67" s="132">
        <f t="shared" ref="M67:M86" si="21">ROUND(100*(Z:Z)/(U:U), 2)</f>
        <v>3.77</v>
      </c>
      <c r="N67" s="282">
        <v>54.1</v>
      </c>
      <c r="O67" s="123">
        <v>0.0</v>
      </c>
      <c r="P67" s="123">
        <v>23.0</v>
      </c>
      <c r="Q67" s="123">
        <v>0.0</v>
      </c>
      <c r="R67" s="123">
        <v>4.0</v>
      </c>
      <c r="S67" s="123">
        <v>4.0</v>
      </c>
      <c r="T67" s="123">
        <v>1.0</v>
      </c>
      <c r="U67" s="123">
        <v>53.0</v>
      </c>
      <c r="V67" s="123">
        <v>44.0</v>
      </c>
      <c r="W67" s="123">
        <v>42.0</v>
      </c>
      <c r="X67" s="123">
        <v>20.0</v>
      </c>
      <c r="Y67" s="123">
        <v>33.0</v>
      </c>
      <c r="Z67" s="123">
        <v>2.0</v>
      </c>
      <c r="AA67" s="283"/>
      <c r="AB67" s="123" t="s">
        <v>35</v>
      </c>
    </row>
    <row r="68">
      <c r="A68" s="140"/>
      <c r="B68" s="15" t="s">
        <v>46</v>
      </c>
      <c r="C68" s="141" t="s">
        <v>47</v>
      </c>
      <c r="D68" s="284">
        <f t="shared" si="15"/>
        <v>3.11</v>
      </c>
      <c r="E68" s="285">
        <v>6.33</v>
      </c>
      <c r="F68" s="286">
        <f t="shared" si="16"/>
        <v>-3.22</v>
      </c>
      <c r="G68" s="82">
        <f t="shared" si="17"/>
        <v>7.67</v>
      </c>
      <c r="H68" s="83">
        <v>1.69</v>
      </c>
      <c r="I68" s="84">
        <v>10.87</v>
      </c>
      <c r="J68" s="85">
        <f t="shared" si="18"/>
        <v>3.64</v>
      </c>
      <c r="K68" s="39">
        <f t="shared" si="19"/>
        <v>3</v>
      </c>
      <c r="L68" s="86">
        <f t="shared" si="20"/>
        <v>0.84</v>
      </c>
      <c r="M68" s="87">
        <f t="shared" si="21"/>
        <v>6.86</v>
      </c>
      <c r="N68" s="88">
        <v>75.1</v>
      </c>
      <c r="O68" s="12">
        <v>0.0</v>
      </c>
      <c r="P68" s="12">
        <v>16.0</v>
      </c>
      <c r="Q68" s="12">
        <v>0.0</v>
      </c>
      <c r="R68" s="12">
        <v>6.0</v>
      </c>
      <c r="S68" s="12">
        <v>5.0</v>
      </c>
      <c r="T68" s="12">
        <v>0.0</v>
      </c>
      <c r="U68" s="12">
        <v>102.0</v>
      </c>
      <c r="V68" s="12">
        <v>64.0</v>
      </c>
      <c r="W68" s="160">
        <v>53.0</v>
      </c>
      <c r="X68" s="12">
        <v>25.0</v>
      </c>
      <c r="Y68" s="12">
        <v>91.0</v>
      </c>
      <c r="Z68" s="12">
        <v>7.0</v>
      </c>
      <c r="AA68" s="12">
        <v>3.0</v>
      </c>
      <c r="AB68" s="12" t="s">
        <v>35</v>
      </c>
    </row>
    <row r="69">
      <c r="A69" s="140"/>
      <c r="B69" s="15" t="s">
        <v>89</v>
      </c>
      <c r="C69" s="141" t="s">
        <v>90</v>
      </c>
      <c r="D69" s="287">
        <f t="shared" si="15"/>
        <v>4.06</v>
      </c>
      <c r="E69" s="288">
        <v>7.14</v>
      </c>
      <c r="F69" s="289">
        <f t="shared" si="16"/>
        <v>-3.08</v>
      </c>
      <c r="G69" s="113">
        <f t="shared" si="17"/>
        <v>8.86</v>
      </c>
      <c r="H69" s="290">
        <v>1.73</v>
      </c>
      <c r="I69" s="291">
        <v>9.71</v>
      </c>
      <c r="J69" s="292">
        <f t="shared" si="18"/>
        <v>2.27</v>
      </c>
      <c r="K69" s="293">
        <f t="shared" si="19"/>
        <v>4.29</v>
      </c>
      <c r="L69" s="194">
        <f t="shared" si="20"/>
        <v>0.57</v>
      </c>
      <c r="M69" s="294">
        <f t="shared" si="21"/>
        <v>5.06</v>
      </c>
      <c r="N69" s="295">
        <v>63.0</v>
      </c>
      <c r="O69" s="12">
        <v>1.0</v>
      </c>
      <c r="P69" s="12">
        <v>17.0</v>
      </c>
      <c r="Q69" s="12">
        <v>4.0</v>
      </c>
      <c r="R69" s="12">
        <v>7.0</v>
      </c>
      <c r="S69" s="12">
        <v>4.0</v>
      </c>
      <c r="T69" s="12">
        <v>0.0</v>
      </c>
      <c r="U69" s="12">
        <v>79.0</v>
      </c>
      <c r="V69" s="12">
        <v>62.0</v>
      </c>
      <c r="W69" s="12">
        <v>50.0</v>
      </c>
      <c r="X69" s="12">
        <v>30.0</v>
      </c>
      <c r="Y69" s="12">
        <v>68.0</v>
      </c>
      <c r="Z69" s="12">
        <v>4.0</v>
      </c>
      <c r="AA69" s="12">
        <v>16.0</v>
      </c>
      <c r="AB69" s="12" t="s">
        <v>35</v>
      </c>
    </row>
    <row r="70">
      <c r="A70" s="140"/>
      <c r="B70" s="15" t="s">
        <v>91</v>
      </c>
      <c r="C70" s="141" t="s">
        <v>92</v>
      </c>
      <c r="D70" s="296">
        <f t="shared" si="15"/>
        <v>3.87</v>
      </c>
      <c r="E70" s="297">
        <v>6.95</v>
      </c>
      <c r="F70" s="289">
        <f t="shared" si="16"/>
        <v>-3.08</v>
      </c>
      <c r="G70" s="197">
        <f t="shared" si="17"/>
        <v>8.64</v>
      </c>
      <c r="H70" s="298">
        <v>1.74</v>
      </c>
      <c r="I70" s="299">
        <v>5.34</v>
      </c>
      <c r="J70" s="300">
        <f t="shared" si="18"/>
        <v>3</v>
      </c>
      <c r="K70" s="52">
        <f t="shared" si="19"/>
        <v>1.79</v>
      </c>
      <c r="L70" s="301">
        <f t="shared" si="20"/>
        <v>0.65</v>
      </c>
      <c r="M70" s="149">
        <f t="shared" si="21"/>
        <v>4.65</v>
      </c>
      <c r="N70" s="302">
        <v>55.2</v>
      </c>
      <c r="O70" s="12">
        <v>2.0</v>
      </c>
      <c r="P70" s="12">
        <v>19.0</v>
      </c>
      <c r="Q70" s="12">
        <v>8.0</v>
      </c>
      <c r="R70" s="12">
        <v>5.0</v>
      </c>
      <c r="S70" s="12">
        <v>4.0</v>
      </c>
      <c r="T70" s="12">
        <v>0.0</v>
      </c>
      <c r="U70" s="12">
        <v>86.0</v>
      </c>
      <c r="V70" s="12">
        <v>53.0</v>
      </c>
      <c r="W70" s="12">
        <v>43.0</v>
      </c>
      <c r="X70" s="12">
        <v>11.0</v>
      </c>
      <c r="Y70" s="12">
        <v>33.0</v>
      </c>
      <c r="Z70" s="12">
        <v>4.0</v>
      </c>
      <c r="AA70" s="12">
        <v>6.0</v>
      </c>
      <c r="AB70" s="12" t="s">
        <v>35</v>
      </c>
    </row>
    <row r="71">
      <c r="A71" s="140"/>
      <c r="B71" s="15" t="s">
        <v>93</v>
      </c>
      <c r="C71" s="141" t="s">
        <v>94</v>
      </c>
      <c r="D71" s="287">
        <f t="shared" si="15"/>
        <v>4.06</v>
      </c>
      <c r="E71" s="303">
        <v>6.88</v>
      </c>
      <c r="F71" s="304">
        <f t="shared" si="16"/>
        <v>-2.82</v>
      </c>
      <c r="G71" s="305">
        <f t="shared" si="17"/>
        <v>7.94</v>
      </c>
      <c r="H71" s="306">
        <v>1.78</v>
      </c>
      <c r="I71" s="113">
        <v>4.59</v>
      </c>
      <c r="J71" s="113">
        <f t="shared" si="18"/>
        <v>1.04</v>
      </c>
      <c r="K71" s="307">
        <f t="shared" si="19"/>
        <v>4.41</v>
      </c>
      <c r="L71" s="256">
        <f t="shared" si="20"/>
        <v>0</v>
      </c>
      <c r="M71" s="256">
        <f t="shared" si="21"/>
        <v>0</v>
      </c>
      <c r="N71" s="188">
        <v>51.0</v>
      </c>
      <c r="O71" s="12">
        <v>1.0</v>
      </c>
      <c r="P71" s="12">
        <v>11.0</v>
      </c>
      <c r="Q71" s="12">
        <v>8.0</v>
      </c>
      <c r="R71" s="12">
        <v>3.0</v>
      </c>
      <c r="S71" s="12">
        <v>4.0</v>
      </c>
      <c r="T71" s="12">
        <v>0.0</v>
      </c>
      <c r="U71" s="12">
        <v>66.0</v>
      </c>
      <c r="V71" s="12">
        <v>45.0</v>
      </c>
      <c r="W71" s="12">
        <v>39.0</v>
      </c>
      <c r="X71" s="12">
        <v>25.0</v>
      </c>
      <c r="Y71" s="12">
        <v>26.0</v>
      </c>
      <c r="Z71" s="12">
        <v>0.0</v>
      </c>
      <c r="AA71" s="12">
        <v>7.0</v>
      </c>
      <c r="AB71" s="12" t="s">
        <v>35</v>
      </c>
    </row>
    <row r="72">
      <c r="A72" s="140"/>
      <c r="B72" s="15" t="s">
        <v>95</v>
      </c>
      <c r="C72" s="141" t="s">
        <v>96</v>
      </c>
      <c r="D72" s="308">
        <f t="shared" si="15"/>
        <v>4.27</v>
      </c>
      <c r="E72" s="303">
        <v>6.88</v>
      </c>
      <c r="F72" s="309">
        <f t="shared" si="16"/>
        <v>-2.61</v>
      </c>
      <c r="G72" s="310">
        <f t="shared" si="17"/>
        <v>8.02</v>
      </c>
      <c r="H72" s="311">
        <v>1.5</v>
      </c>
      <c r="I72" s="312">
        <v>8.23</v>
      </c>
      <c r="J72" s="313">
        <f t="shared" si="18"/>
        <v>2.77</v>
      </c>
      <c r="K72" s="314">
        <f t="shared" si="19"/>
        <v>2.99</v>
      </c>
      <c r="L72" s="315">
        <f t="shared" si="20"/>
        <v>0.95</v>
      </c>
      <c r="M72" s="316">
        <f t="shared" si="21"/>
        <v>8.97</v>
      </c>
      <c r="N72" s="18">
        <v>66.2</v>
      </c>
      <c r="O72" s="12">
        <v>2.0</v>
      </c>
      <c r="P72" s="12">
        <v>16.0</v>
      </c>
      <c r="Q72" s="12">
        <v>10.0</v>
      </c>
      <c r="R72" s="12">
        <v>4.0</v>
      </c>
      <c r="S72" s="12">
        <v>3.0</v>
      </c>
      <c r="T72" s="12">
        <v>0.0</v>
      </c>
      <c r="U72" s="12">
        <v>78.0</v>
      </c>
      <c r="V72" s="12">
        <v>59.0</v>
      </c>
      <c r="W72" s="12">
        <v>51.0</v>
      </c>
      <c r="X72" s="12">
        <v>22.0</v>
      </c>
      <c r="Y72" s="12">
        <v>61.0</v>
      </c>
      <c r="Z72" s="12">
        <v>7.0</v>
      </c>
      <c r="AA72" s="12">
        <v>12.0</v>
      </c>
      <c r="AB72" s="12" t="s">
        <v>35</v>
      </c>
    </row>
    <row r="73">
      <c r="A73" s="140"/>
      <c r="B73" s="15" t="s">
        <v>77</v>
      </c>
      <c r="C73" s="141" t="s">
        <v>78</v>
      </c>
      <c r="D73" s="317">
        <f t="shared" si="15"/>
        <v>3.71</v>
      </c>
      <c r="E73" s="318">
        <v>6.24</v>
      </c>
      <c r="F73" s="319">
        <f t="shared" si="16"/>
        <v>-2.53</v>
      </c>
      <c r="G73" s="320">
        <f t="shared" si="17"/>
        <v>7.46</v>
      </c>
      <c r="H73" s="194">
        <v>1.43</v>
      </c>
      <c r="I73" s="236">
        <v>12.83</v>
      </c>
      <c r="J73" s="321">
        <f t="shared" si="18"/>
        <v>2</v>
      </c>
      <c r="K73" s="322">
        <f t="shared" si="19"/>
        <v>6.44</v>
      </c>
      <c r="L73" s="323">
        <f t="shared" si="20"/>
        <v>0.34</v>
      </c>
      <c r="M73" s="324">
        <f t="shared" si="21"/>
        <v>5.26</v>
      </c>
      <c r="N73" s="240">
        <v>53.1</v>
      </c>
      <c r="O73" s="12">
        <v>1.0</v>
      </c>
      <c r="P73" s="12">
        <v>13.0</v>
      </c>
      <c r="Q73" s="12">
        <v>12.0</v>
      </c>
      <c r="R73" s="12">
        <v>3.0</v>
      </c>
      <c r="S73" s="12">
        <v>5.0</v>
      </c>
      <c r="T73" s="12">
        <v>0.0</v>
      </c>
      <c r="U73" s="12">
        <v>38.0</v>
      </c>
      <c r="V73" s="12">
        <v>44.0</v>
      </c>
      <c r="W73" s="12">
        <v>37.0</v>
      </c>
      <c r="X73" s="12">
        <v>38.0</v>
      </c>
      <c r="Y73" s="12">
        <v>76.0</v>
      </c>
      <c r="Z73" s="12">
        <v>2.0</v>
      </c>
      <c r="AA73" s="12">
        <v>13.0</v>
      </c>
      <c r="AB73" s="12" t="s">
        <v>35</v>
      </c>
    </row>
    <row r="74">
      <c r="A74" s="140"/>
      <c r="B74" s="15" t="s">
        <v>42</v>
      </c>
      <c r="C74" s="141" t="s">
        <v>43</v>
      </c>
      <c r="D74" s="325">
        <f t="shared" si="15"/>
        <v>2.71</v>
      </c>
      <c r="E74" s="326">
        <v>5.18</v>
      </c>
      <c r="F74" s="327">
        <f t="shared" si="16"/>
        <v>-2.47</v>
      </c>
      <c r="G74" s="328">
        <f t="shared" si="17"/>
        <v>6.55</v>
      </c>
      <c r="H74" s="105">
        <v>1.53</v>
      </c>
      <c r="I74" s="63">
        <v>7.96</v>
      </c>
      <c r="J74" s="64">
        <f t="shared" si="18"/>
        <v>4.13</v>
      </c>
      <c r="K74" s="71">
        <f t="shared" si="19"/>
        <v>1.94</v>
      </c>
      <c r="L74" s="239">
        <f t="shared" si="20"/>
        <v>0.36</v>
      </c>
      <c r="M74" s="150">
        <f t="shared" si="21"/>
        <v>3.06</v>
      </c>
      <c r="N74" s="329">
        <v>74.2</v>
      </c>
      <c r="O74" s="12">
        <v>1.0</v>
      </c>
      <c r="P74" s="12">
        <v>15.0</v>
      </c>
      <c r="Q74" s="12">
        <v>14.0</v>
      </c>
      <c r="R74" s="12">
        <v>6.0</v>
      </c>
      <c r="S74" s="12">
        <v>7.0</v>
      </c>
      <c r="T74" s="12">
        <v>0.0</v>
      </c>
      <c r="U74" s="12">
        <v>98.0</v>
      </c>
      <c r="V74" s="12">
        <v>54.0</v>
      </c>
      <c r="W74" s="12">
        <v>43.0</v>
      </c>
      <c r="X74" s="12">
        <v>16.0</v>
      </c>
      <c r="Y74" s="12">
        <v>66.0</v>
      </c>
      <c r="Z74" s="12">
        <v>3.0</v>
      </c>
      <c r="AA74" s="12">
        <v>3.0</v>
      </c>
      <c r="AB74" s="12" t="s">
        <v>35</v>
      </c>
    </row>
    <row r="75">
      <c r="A75" s="140"/>
      <c r="B75" s="15" t="s">
        <v>76</v>
      </c>
      <c r="C75" s="141" t="s">
        <v>34</v>
      </c>
      <c r="D75" s="330">
        <f t="shared" si="15"/>
        <v>3.66</v>
      </c>
      <c r="E75" s="331">
        <v>5.91</v>
      </c>
      <c r="F75" s="332">
        <f t="shared" si="16"/>
        <v>-2.25</v>
      </c>
      <c r="G75" s="333">
        <f t="shared" si="17"/>
        <v>6.9</v>
      </c>
      <c r="H75" s="202">
        <v>1.35</v>
      </c>
      <c r="I75" s="55">
        <v>11.34</v>
      </c>
      <c r="J75" s="314">
        <f t="shared" si="18"/>
        <v>3.94</v>
      </c>
      <c r="K75" s="68">
        <f t="shared" si="19"/>
        <v>2.89</v>
      </c>
      <c r="L75" s="334">
        <f t="shared" si="20"/>
        <v>0.96</v>
      </c>
      <c r="M75" s="61">
        <f t="shared" si="21"/>
        <v>10.34</v>
      </c>
      <c r="N75" s="230">
        <v>56.1</v>
      </c>
      <c r="O75" s="12">
        <v>0.0</v>
      </c>
      <c r="P75" s="12">
        <v>31.0</v>
      </c>
      <c r="Q75" s="12">
        <v>0.0</v>
      </c>
      <c r="R75" s="12">
        <v>6.0</v>
      </c>
      <c r="S75" s="12">
        <v>4.0</v>
      </c>
      <c r="T75" s="222">
        <v>11.0</v>
      </c>
      <c r="U75" s="12">
        <v>58.0</v>
      </c>
      <c r="V75" s="12">
        <v>43.0</v>
      </c>
      <c r="W75" s="12">
        <v>37.0</v>
      </c>
      <c r="X75" s="12">
        <v>18.0</v>
      </c>
      <c r="Y75" s="12">
        <v>71.0</v>
      </c>
      <c r="Z75" s="12">
        <v>6.0</v>
      </c>
      <c r="AA75" s="12">
        <v>12.0</v>
      </c>
      <c r="AB75" s="12" t="s">
        <v>35</v>
      </c>
    </row>
    <row r="76">
      <c r="A76" s="140"/>
      <c r="B76" s="15" t="s">
        <v>97</v>
      </c>
      <c r="C76" s="141" t="s">
        <v>98</v>
      </c>
      <c r="D76" s="296">
        <f t="shared" si="15"/>
        <v>3.87</v>
      </c>
      <c r="E76" s="335">
        <v>6.05</v>
      </c>
      <c r="F76" s="336">
        <f t="shared" si="16"/>
        <v>-2.18</v>
      </c>
      <c r="G76" s="315">
        <f t="shared" si="17"/>
        <v>7.19</v>
      </c>
      <c r="H76" s="316">
        <v>1.71</v>
      </c>
      <c r="I76" s="337">
        <v>8.51</v>
      </c>
      <c r="J76" s="338">
        <f t="shared" si="18"/>
        <v>1.95</v>
      </c>
      <c r="K76" s="156">
        <f t="shared" si="19"/>
        <v>4.38</v>
      </c>
      <c r="L76" s="339">
        <f t="shared" si="20"/>
        <v>0.56</v>
      </c>
      <c r="M76" s="340">
        <f t="shared" si="21"/>
        <v>5.1</v>
      </c>
      <c r="N76" s="341">
        <v>80.1</v>
      </c>
      <c r="O76" s="12">
        <v>1.0</v>
      </c>
      <c r="P76" s="12">
        <v>21.0</v>
      </c>
      <c r="Q76" s="12">
        <v>13.0</v>
      </c>
      <c r="R76" s="12">
        <v>5.0</v>
      </c>
      <c r="S76" s="12">
        <v>4.0</v>
      </c>
      <c r="T76" s="12">
        <v>0.0</v>
      </c>
      <c r="U76" s="12">
        <v>98.0</v>
      </c>
      <c r="V76" s="12">
        <v>64.0</v>
      </c>
      <c r="W76" s="160">
        <v>54.0</v>
      </c>
      <c r="X76" s="12">
        <v>39.0</v>
      </c>
      <c r="Y76" s="12">
        <v>76.0</v>
      </c>
      <c r="Z76" s="12">
        <v>5.0</v>
      </c>
      <c r="AA76" s="12">
        <v>8.0</v>
      </c>
      <c r="AB76" s="12" t="s">
        <v>35</v>
      </c>
    </row>
    <row r="77">
      <c r="A77" s="140"/>
      <c r="B77" s="15" t="s">
        <v>69</v>
      </c>
      <c r="C77" s="141" t="s">
        <v>70</v>
      </c>
      <c r="D77" s="342">
        <f t="shared" si="15"/>
        <v>3.51</v>
      </c>
      <c r="E77" s="343">
        <v>5.48</v>
      </c>
      <c r="F77" s="344">
        <f t="shared" si="16"/>
        <v>-1.97</v>
      </c>
      <c r="G77" s="345">
        <f t="shared" si="17"/>
        <v>6.61</v>
      </c>
      <c r="H77" s="346">
        <v>1.47</v>
      </c>
      <c r="I77" s="215">
        <v>9.28</v>
      </c>
      <c r="J77" s="192">
        <f t="shared" si="18"/>
        <v>3.47</v>
      </c>
      <c r="K77" s="259">
        <f t="shared" si="19"/>
        <v>2.67</v>
      </c>
      <c r="L77" s="114">
        <f t="shared" si="20"/>
        <v>0.7</v>
      </c>
      <c r="M77" s="339">
        <f t="shared" si="21"/>
        <v>6.67</v>
      </c>
      <c r="N77" s="116">
        <v>64.0</v>
      </c>
      <c r="O77" s="12">
        <v>2.0</v>
      </c>
      <c r="P77" s="12">
        <v>16.0</v>
      </c>
      <c r="Q77" s="12">
        <v>6.0</v>
      </c>
      <c r="R77" s="12">
        <v>4.0</v>
      </c>
      <c r="S77" s="12">
        <v>5.0</v>
      </c>
      <c r="T77" s="12">
        <v>2.0</v>
      </c>
      <c r="U77" s="12">
        <v>75.0</v>
      </c>
      <c r="V77" s="12">
        <v>47.0</v>
      </c>
      <c r="W77" s="12">
        <v>39.0</v>
      </c>
      <c r="X77" s="12">
        <v>19.0</v>
      </c>
      <c r="Y77" s="12">
        <v>66.0</v>
      </c>
      <c r="Z77" s="12">
        <v>5.0</v>
      </c>
      <c r="AA77" s="12">
        <v>10.0</v>
      </c>
      <c r="AB77" s="12" t="s">
        <v>35</v>
      </c>
    </row>
    <row r="78">
      <c r="A78" s="140"/>
      <c r="B78" s="15" t="s">
        <v>48</v>
      </c>
      <c r="C78" s="141" t="s">
        <v>49</v>
      </c>
      <c r="D78" s="347">
        <f t="shared" si="15"/>
        <v>3.37</v>
      </c>
      <c r="E78" s="348">
        <v>5.28</v>
      </c>
      <c r="F78" s="349">
        <f t="shared" si="16"/>
        <v>-1.91</v>
      </c>
      <c r="G78" s="91">
        <f t="shared" si="17"/>
        <v>7.29</v>
      </c>
      <c r="H78" s="92">
        <v>1.48</v>
      </c>
      <c r="I78" s="93">
        <v>5.59</v>
      </c>
      <c r="J78" s="94">
        <f t="shared" si="18"/>
        <v>2.25</v>
      </c>
      <c r="K78" s="95">
        <f t="shared" si="19"/>
        <v>2.48</v>
      </c>
      <c r="L78" s="96">
        <f t="shared" si="20"/>
        <v>0.16</v>
      </c>
      <c r="M78" s="97">
        <f t="shared" si="21"/>
        <v>1.43</v>
      </c>
      <c r="N78" s="98">
        <v>58.0</v>
      </c>
      <c r="O78" s="12">
        <v>0.0</v>
      </c>
      <c r="P78" s="12">
        <v>12.0</v>
      </c>
      <c r="Q78" s="12">
        <v>0.0</v>
      </c>
      <c r="R78" s="12">
        <v>3.0</v>
      </c>
      <c r="S78" s="12">
        <v>4.0</v>
      </c>
      <c r="T78" s="12">
        <v>0.0</v>
      </c>
      <c r="U78" s="12">
        <v>70.0</v>
      </c>
      <c r="V78" s="12">
        <v>47.0</v>
      </c>
      <c r="W78" s="12">
        <v>34.0</v>
      </c>
      <c r="X78" s="12">
        <v>16.0</v>
      </c>
      <c r="Y78" s="12">
        <v>36.0</v>
      </c>
      <c r="Z78" s="12">
        <v>1.0</v>
      </c>
      <c r="AA78" s="12">
        <v>7.0</v>
      </c>
      <c r="AB78" s="12" t="s">
        <v>35</v>
      </c>
    </row>
    <row r="79">
      <c r="A79" s="140"/>
      <c r="B79" s="15" t="s">
        <v>67</v>
      </c>
      <c r="C79" s="141" t="s">
        <v>68</v>
      </c>
      <c r="D79" s="350">
        <f t="shared" si="15"/>
        <v>3.47</v>
      </c>
      <c r="E79" s="351">
        <v>5.29</v>
      </c>
      <c r="F79" s="352">
        <f t="shared" si="16"/>
        <v>-1.82</v>
      </c>
      <c r="G79" s="47">
        <f t="shared" si="17"/>
        <v>6</v>
      </c>
      <c r="H79" s="290">
        <v>1.73</v>
      </c>
      <c r="I79" s="184">
        <v>6.0</v>
      </c>
      <c r="J79" s="353">
        <f t="shared" si="18"/>
        <v>1.89</v>
      </c>
      <c r="K79" s="157">
        <f t="shared" si="19"/>
        <v>3.18</v>
      </c>
      <c r="L79" s="354">
        <f t="shared" si="20"/>
        <v>0.18</v>
      </c>
      <c r="M79" s="97">
        <f t="shared" si="21"/>
        <v>1.43</v>
      </c>
      <c r="N79" s="188">
        <v>51.0</v>
      </c>
      <c r="O79" s="12">
        <v>1.0</v>
      </c>
      <c r="P79" s="12">
        <v>12.0</v>
      </c>
      <c r="Q79" s="12">
        <v>11.0</v>
      </c>
      <c r="R79" s="12">
        <v>7.0</v>
      </c>
      <c r="S79" s="12">
        <v>2.0</v>
      </c>
      <c r="T79" s="12">
        <v>0.0</v>
      </c>
      <c r="U79" s="12">
        <v>70.0</v>
      </c>
      <c r="V79" s="12">
        <v>34.0</v>
      </c>
      <c r="W79" s="12">
        <v>30.0</v>
      </c>
      <c r="X79" s="12">
        <v>18.0</v>
      </c>
      <c r="Y79" s="12">
        <v>34.0</v>
      </c>
      <c r="Z79" s="12">
        <v>1.0</v>
      </c>
      <c r="AA79" s="12">
        <v>5.0</v>
      </c>
      <c r="AB79" s="12" t="s">
        <v>35</v>
      </c>
    </row>
    <row r="80">
      <c r="A80" s="140"/>
      <c r="B80" s="15" t="s">
        <v>99</v>
      </c>
      <c r="C80" s="141" t="s">
        <v>100</v>
      </c>
      <c r="D80" s="355">
        <f t="shared" si="15"/>
        <v>4.14</v>
      </c>
      <c r="E80" s="331">
        <v>5.91</v>
      </c>
      <c r="F80" s="356">
        <f t="shared" si="16"/>
        <v>-1.77</v>
      </c>
      <c r="G80" s="80">
        <f t="shared" si="17"/>
        <v>7.86</v>
      </c>
      <c r="H80" s="357">
        <v>1.56</v>
      </c>
      <c r="I80" s="358">
        <v>10.07</v>
      </c>
      <c r="J80" s="359">
        <f t="shared" si="18"/>
        <v>2.1</v>
      </c>
      <c r="K80" s="360">
        <f t="shared" si="19"/>
        <v>4.81</v>
      </c>
      <c r="L80" s="328">
        <f t="shared" si="20"/>
        <v>0.8</v>
      </c>
      <c r="M80" s="337">
        <f t="shared" si="21"/>
        <v>8.62</v>
      </c>
      <c r="N80" s="230">
        <v>56.1</v>
      </c>
      <c r="O80" s="12">
        <v>2.0</v>
      </c>
      <c r="P80" s="12">
        <v>15.0</v>
      </c>
      <c r="Q80" s="12">
        <v>14.0</v>
      </c>
      <c r="R80" s="12">
        <v>3.0</v>
      </c>
      <c r="S80" s="12">
        <v>6.0</v>
      </c>
      <c r="T80" s="12">
        <v>0.0</v>
      </c>
      <c r="U80" s="12">
        <v>58.0</v>
      </c>
      <c r="V80" s="12">
        <v>49.0</v>
      </c>
      <c r="W80" s="12">
        <v>37.0</v>
      </c>
      <c r="X80" s="12">
        <v>30.0</v>
      </c>
      <c r="Y80" s="12">
        <v>63.0</v>
      </c>
      <c r="Z80" s="12">
        <v>5.0</v>
      </c>
      <c r="AA80" s="12">
        <v>8.0</v>
      </c>
      <c r="AB80" s="12" t="s">
        <v>35</v>
      </c>
    </row>
    <row r="81">
      <c r="A81" s="140"/>
      <c r="B81" s="15" t="s">
        <v>79</v>
      </c>
      <c r="C81" s="141" t="s">
        <v>80</v>
      </c>
      <c r="D81" s="361">
        <f t="shared" si="15"/>
        <v>3.75</v>
      </c>
      <c r="E81" s="362">
        <v>5.37</v>
      </c>
      <c r="F81" s="363">
        <f t="shared" si="16"/>
        <v>-1.62</v>
      </c>
      <c r="G81" s="164">
        <f t="shared" si="17"/>
        <v>7.26</v>
      </c>
      <c r="H81" s="364">
        <v>1.49</v>
      </c>
      <c r="I81" s="365">
        <v>11.03</v>
      </c>
      <c r="J81" s="183">
        <f t="shared" si="18"/>
        <v>2.23</v>
      </c>
      <c r="K81" s="366">
        <f t="shared" si="19"/>
        <v>4.98</v>
      </c>
      <c r="L81" s="183">
        <f t="shared" si="20"/>
        <v>0.71</v>
      </c>
      <c r="M81" s="47">
        <f t="shared" si="21"/>
        <v>8.33</v>
      </c>
      <c r="N81" s="367">
        <v>63.2</v>
      </c>
      <c r="O81" s="12">
        <v>4.0</v>
      </c>
      <c r="P81" s="12">
        <v>13.0</v>
      </c>
      <c r="Q81" s="12">
        <v>13.0</v>
      </c>
      <c r="R81" s="12">
        <v>6.0</v>
      </c>
      <c r="S81" s="12">
        <v>2.0</v>
      </c>
      <c r="T81" s="12">
        <v>0.0</v>
      </c>
      <c r="U81" s="12">
        <v>60.0</v>
      </c>
      <c r="V81" s="12">
        <v>51.0</v>
      </c>
      <c r="W81" s="12">
        <v>38.0</v>
      </c>
      <c r="X81" s="12">
        <v>35.0</v>
      </c>
      <c r="Y81" s="12">
        <v>78.0</v>
      </c>
      <c r="Z81" s="12">
        <v>5.0</v>
      </c>
      <c r="AA81" s="12">
        <v>7.0</v>
      </c>
      <c r="AB81" s="12" t="s">
        <v>35</v>
      </c>
    </row>
    <row r="82">
      <c r="A82" s="140"/>
      <c r="B82" s="15" t="s">
        <v>101</v>
      </c>
      <c r="C82" s="141" t="s">
        <v>102</v>
      </c>
      <c r="D82" s="368">
        <f t="shared" si="15"/>
        <v>4.21</v>
      </c>
      <c r="E82" s="369">
        <v>5.82</v>
      </c>
      <c r="F82" s="370">
        <f t="shared" si="16"/>
        <v>-1.61</v>
      </c>
      <c r="G82" s="371">
        <f t="shared" si="17"/>
        <v>6.89</v>
      </c>
      <c r="H82" s="298">
        <v>1.74</v>
      </c>
      <c r="I82" s="372">
        <v>7.16</v>
      </c>
      <c r="J82" s="373">
        <f t="shared" si="18"/>
        <v>1.17</v>
      </c>
      <c r="K82" s="374">
        <f t="shared" si="19"/>
        <v>6.14</v>
      </c>
      <c r="L82" s="213">
        <f t="shared" si="20"/>
        <v>0.15</v>
      </c>
      <c r="M82" s="214">
        <f t="shared" si="21"/>
        <v>1.56</v>
      </c>
      <c r="N82" s="264">
        <v>60.1</v>
      </c>
      <c r="O82" s="12">
        <v>0.0</v>
      </c>
      <c r="P82" s="12">
        <v>19.0</v>
      </c>
      <c r="Q82" s="12">
        <v>9.0</v>
      </c>
      <c r="R82" s="12">
        <v>5.0</v>
      </c>
      <c r="S82" s="12">
        <v>5.0</v>
      </c>
      <c r="T82" s="12">
        <v>3.0</v>
      </c>
      <c r="U82" s="12">
        <v>64.0</v>
      </c>
      <c r="V82" s="12">
        <v>46.0</v>
      </c>
      <c r="W82" s="12">
        <v>39.0</v>
      </c>
      <c r="X82" s="12">
        <v>41.0</v>
      </c>
      <c r="Y82" s="12">
        <v>48.0</v>
      </c>
      <c r="Z82" s="12">
        <v>1.0</v>
      </c>
      <c r="AA82" s="12">
        <v>7.0</v>
      </c>
      <c r="AB82" s="12" t="s">
        <v>35</v>
      </c>
    </row>
    <row r="83">
      <c r="A83" s="140"/>
      <c r="B83" s="15" t="s">
        <v>81</v>
      </c>
      <c r="C83" s="141" t="s">
        <v>82</v>
      </c>
      <c r="D83" s="375">
        <f t="shared" si="15"/>
        <v>3.78</v>
      </c>
      <c r="E83" s="376">
        <v>5.33</v>
      </c>
      <c r="F83" s="377">
        <f t="shared" si="16"/>
        <v>-1.55</v>
      </c>
      <c r="G83" s="378">
        <f t="shared" si="17"/>
        <v>7.71</v>
      </c>
      <c r="H83" s="113">
        <v>3.08</v>
      </c>
      <c r="I83" s="183">
        <v>8.35</v>
      </c>
      <c r="J83" s="254">
        <f t="shared" si="18"/>
        <v>1.34</v>
      </c>
      <c r="K83" s="379">
        <f t="shared" si="19"/>
        <v>6.27</v>
      </c>
      <c r="L83" s="256">
        <f t="shared" si="20"/>
        <v>0</v>
      </c>
      <c r="M83" s="256">
        <f t="shared" si="21"/>
        <v>0</v>
      </c>
      <c r="N83" s="257">
        <v>50.2</v>
      </c>
      <c r="O83" s="12">
        <v>2.0</v>
      </c>
      <c r="P83" s="12">
        <v>11.0</v>
      </c>
      <c r="Q83" s="12">
        <v>5.0</v>
      </c>
      <c r="R83" s="12">
        <v>4.0</v>
      </c>
      <c r="S83" s="12">
        <v>3.0</v>
      </c>
      <c r="T83" s="12">
        <v>0.0</v>
      </c>
      <c r="U83" s="12">
        <v>121.0</v>
      </c>
      <c r="V83" s="12">
        <v>43.0</v>
      </c>
      <c r="W83" s="12">
        <v>30.0</v>
      </c>
      <c r="X83" s="12">
        <v>35.0</v>
      </c>
      <c r="Y83" s="12">
        <v>47.0</v>
      </c>
      <c r="Z83" s="12">
        <v>0.0</v>
      </c>
      <c r="AA83" s="12">
        <v>6.0</v>
      </c>
      <c r="AB83" s="12" t="s">
        <v>35</v>
      </c>
    </row>
    <row r="84">
      <c r="A84" s="140"/>
      <c r="B84" s="15" t="s">
        <v>103</v>
      </c>
      <c r="C84" s="141" t="s">
        <v>34</v>
      </c>
      <c r="D84" s="368">
        <f t="shared" si="15"/>
        <v>4.21</v>
      </c>
      <c r="E84" s="380">
        <v>5.72</v>
      </c>
      <c r="F84" s="381">
        <f t="shared" si="16"/>
        <v>-1.51</v>
      </c>
      <c r="G84" s="382">
        <f t="shared" si="17"/>
        <v>7.37</v>
      </c>
      <c r="H84" s="45">
        <v>1.55</v>
      </c>
      <c r="I84" s="359">
        <v>7.94</v>
      </c>
      <c r="J84" s="44">
        <f t="shared" si="18"/>
        <v>3.13</v>
      </c>
      <c r="K84" s="383">
        <f t="shared" si="19"/>
        <v>2.56</v>
      </c>
      <c r="L84" s="80">
        <f t="shared" si="20"/>
        <v>1.12</v>
      </c>
      <c r="M84" s="384">
        <f t="shared" si="21"/>
        <v>9.72</v>
      </c>
      <c r="N84" s="385">
        <v>56.2</v>
      </c>
      <c r="O84" s="12">
        <v>0.0</v>
      </c>
      <c r="P84" s="12">
        <v>22.0</v>
      </c>
      <c r="Q84" s="12">
        <v>5.0</v>
      </c>
      <c r="R84" s="12">
        <v>3.0</v>
      </c>
      <c r="S84" s="12">
        <v>4.0</v>
      </c>
      <c r="T84" s="12">
        <v>1.0</v>
      </c>
      <c r="U84" s="12">
        <v>72.0</v>
      </c>
      <c r="V84" s="12">
        <v>46.0</v>
      </c>
      <c r="W84" s="12">
        <v>36.0</v>
      </c>
      <c r="X84" s="12">
        <v>16.0</v>
      </c>
      <c r="Y84" s="12">
        <v>50.0</v>
      </c>
      <c r="Z84" s="12">
        <v>7.0</v>
      </c>
      <c r="AA84" s="12">
        <v>6.0</v>
      </c>
      <c r="AB84" s="12" t="s">
        <v>35</v>
      </c>
    </row>
    <row r="85">
      <c r="A85" s="140"/>
      <c r="B85" s="15" t="s">
        <v>52</v>
      </c>
      <c r="C85" s="141" t="s">
        <v>53</v>
      </c>
      <c r="D85" s="386">
        <f t="shared" si="15"/>
        <v>3.95</v>
      </c>
      <c r="E85" s="387">
        <v>5.2</v>
      </c>
      <c r="F85" s="388">
        <f t="shared" si="16"/>
        <v>-1.25</v>
      </c>
      <c r="G85" s="109">
        <f t="shared" si="17"/>
        <v>5.91</v>
      </c>
      <c r="H85" s="110">
        <v>1.64</v>
      </c>
      <c r="I85" s="111">
        <v>13.22</v>
      </c>
      <c r="J85" s="112">
        <f t="shared" si="18"/>
        <v>1.77</v>
      </c>
      <c r="K85" s="113">
        <f t="shared" si="19"/>
        <v>7.45</v>
      </c>
      <c r="L85" s="114">
        <f t="shared" si="20"/>
        <v>0.7</v>
      </c>
      <c r="M85" s="115">
        <f t="shared" si="21"/>
        <v>9.62</v>
      </c>
      <c r="N85" s="116">
        <v>64.0</v>
      </c>
      <c r="O85" s="12">
        <v>0.0</v>
      </c>
      <c r="P85" s="12">
        <v>14.0</v>
      </c>
      <c r="Q85" s="12">
        <v>14.0</v>
      </c>
      <c r="R85" s="12">
        <v>6.0</v>
      </c>
      <c r="S85" s="12">
        <v>2.0</v>
      </c>
      <c r="T85" s="12">
        <v>0.0</v>
      </c>
      <c r="U85" s="12">
        <v>52.0</v>
      </c>
      <c r="V85" s="12">
        <v>42.0</v>
      </c>
      <c r="W85" s="12">
        <v>37.0</v>
      </c>
      <c r="X85" s="12">
        <v>53.0</v>
      </c>
      <c r="Y85" s="12">
        <v>94.0</v>
      </c>
      <c r="Z85" s="12">
        <v>5.0</v>
      </c>
      <c r="AA85" s="12">
        <v>4.0</v>
      </c>
      <c r="AB85" s="12" t="s">
        <v>35</v>
      </c>
    </row>
    <row r="86">
      <c r="A86" s="140"/>
      <c r="B86" s="15" t="s">
        <v>36</v>
      </c>
      <c r="C86" s="141" t="s">
        <v>37</v>
      </c>
      <c r="D86" s="389">
        <f t="shared" si="15"/>
        <v>2.79</v>
      </c>
      <c r="E86" s="390">
        <v>3.91</v>
      </c>
      <c r="F86" s="391">
        <f t="shared" si="16"/>
        <v>-1.12</v>
      </c>
      <c r="G86" s="392">
        <f t="shared" si="17"/>
        <v>5.19</v>
      </c>
      <c r="H86" s="393">
        <v>1.11</v>
      </c>
      <c r="I86" s="394">
        <v>10.69</v>
      </c>
      <c r="J86" s="33">
        <f t="shared" si="18"/>
        <v>3.88</v>
      </c>
      <c r="K86" s="395">
        <f t="shared" si="19"/>
        <v>2.77</v>
      </c>
      <c r="L86" s="396">
        <f t="shared" si="20"/>
        <v>0.46</v>
      </c>
      <c r="M86" s="18">
        <f t="shared" si="21"/>
        <v>6.35</v>
      </c>
      <c r="N86" s="37">
        <v>78.1</v>
      </c>
      <c r="O86" s="12">
        <v>0.0</v>
      </c>
      <c r="P86" s="12">
        <v>18.0</v>
      </c>
      <c r="Q86" s="12">
        <v>16.0</v>
      </c>
      <c r="R86" s="12">
        <v>11.0</v>
      </c>
      <c r="S86" s="12">
        <v>4.0</v>
      </c>
      <c r="T86" s="12">
        <v>0.0</v>
      </c>
      <c r="U86" s="12">
        <v>63.0</v>
      </c>
      <c r="V86" s="12">
        <v>45.0</v>
      </c>
      <c r="W86" s="12">
        <v>34.0</v>
      </c>
      <c r="X86" s="12">
        <v>24.0</v>
      </c>
      <c r="Y86" s="12">
        <v>93.0</v>
      </c>
      <c r="Z86" s="12">
        <v>4.0</v>
      </c>
      <c r="AA86" s="12">
        <v>10.0</v>
      </c>
      <c r="AB86" s="12" t="s">
        <v>35</v>
      </c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121" t="s">
        <v>104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122"/>
      <c r="B90" s="123" t="s">
        <v>6</v>
      </c>
      <c r="C90" s="123" t="s">
        <v>7</v>
      </c>
      <c r="D90" s="397" t="s">
        <v>8</v>
      </c>
      <c r="E90" s="125" t="s">
        <v>9</v>
      </c>
      <c r="F90" s="126" t="s">
        <v>10</v>
      </c>
      <c r="G90" s="126" t="s">
        <v>11</v>
      </c>
      <c r="H90" s="126" t="s">
        <v>12</v>
      </c>
      <c r="I90" s="126" t="s">
        <v>13</v>
      </c>
      <c r="J90" s="126" t="s">
        <v>14</v>
      </c>
      <c r="K90" s="126" t="s">
        <v>15</v>
      </c>
      <c r="L90" s="126" t="s">
        <v>16</v>
      </c>
      <c r="M90" s="126" t="s">
        <v>17</v>
      </c>
      <c r="N90" s="126" t="s">
        <v>18</v>
      </c>
      <c r="O90" s="126" t="s">
        <v>19</v>
      </c>
      <c r="P90" s="126" t="s">
        <v>20</v>
      </c>
      <c r="Q90" s="126" t="s">
        <v>21</v>
      </c>
      <c r="R90" s="126" t="s">
        <v>22</v>
      </c>
      <c r="S90" s="126" t="s">
        <v>23</v>
      </c>
      <c r="T90" s="126" t="s">
        <v>24</v>
      </c>
      <c r="U90" s="126" t="s">
        <v>25</v>
      </c>
      <c r="V90" s="126" t="s">
        <v>26</v>
      </c>
      <c r="W90" s="126" t="s">
        <v>27</v>
      </c>
      <c r="X90" s="126" t="s">
        <v>28</v>
      </c>
      <c r="Y90" s="126" t="s">
        <v>29</v>
      </c>
      <c r="Z90" s="126" t="s">
        <v>30</v>
      </c>
      <c r="AA90" s="126" t="s">
        <v>31</v>
      </c>
      <c r="AB90" s="126" t="s">
        <v>32</v>
      </c>
    </row>
    <row r="91">
      <c r="A91" s="398"/>
      <c r="B91" s="128" t="s">
        <v>75</v>
      </c>
      <c r="C91" s="123" t="s">
        <v>68</v>
      </c>
      <c r="D91" s="399">
        <f t="shared" ref="D91:D110" si="22">ROUND(3.2 + (13*(Z:Z) + 3*((X:X) +(AA:AA)) - 2*(Y:Y))/(N:N), 2)</f>
        <v>3.61</v>
      </c>
      <c r="E91" s="400">
        <v>2.64</v>
      </c>
      <c r="F91" s="401">
        <f t="shared" ref="F91:F110" si="23">ROUND((D:D)-(E:E), 2)</f>
        <v>0.97</v>
      </c>
      <c r="G91" s="402">
        <f t="shared" ref="G91:G110" si="24">ROUND(9*((V:V)/(N:N)), 2)</f>
        <v>3.6</v>
      </c>
      <c r="H91" s="403">
        <v>1.21</v>
      </c>
      <c r="I91" s="404">
        <v>4.8</v>
      </c>
      <c r="J91" s="405">
        <f t="shared" ref="J91:J110" si="25">ROUND((Y:Y)/(X:X), 2)</f>
        <v>1.67</v>
      </c>
      <c r="K91" s="406">
        <f t="shared" ref="K91:K110" si="26">ROUND(9*((X:X)/(N:N)), 2)</f>
        <v>2.88</v>
      </c>
      <c r="L91" s="407">
        <f t="shared" ref="L91:L110" si="27">ROUND(9*((Z:Z)/(N:N)), 2)</f>
        <v>0.36</v>
      </c>
      <c r="M91" s="408">
        <f t="shared" ref="M91:M110" si="28">ROUND(100*(Z:Z)/(U:U), 2)</f>
        <v>4.48</v>
      </c>
      <c r="N91" s="409">
        <v>75.0</v>
      </c>
      <c r="O91" s="410">
        <v>6.0</v>
      </c>
      <c r="P91" s="123">
        <v>13.0</v>
      </c>
      <c r="Q91" s="123">
        <v>12.0</v>
      </c>
      <c r="R91" s="123">
        <v>7.0</v>
      </c>
      <c r="S91" s="123">
        <v>3.0</v>
      </c>
      <c r="T91" s="123">
        <v>0.0</v>
      </c>
      <c r="U91" s="123">
        <v>67.0</v>
      </c>
      <c r="V91" s="123">
        <v>30.0</v>
      </c>
      <c r="W91" s="123">
        <v>22.0</v>
      </c>
      <c r="X91" s="123">
        <v>24.0</v>
      </c>
      <c r="Y91" s="123">
        <v>40.0</v>
      </c>
      <c r="Z91" s="123">
        <v>3.0</v>
      </c>
      <c r="AA91" s="123">
        <v>0.0</v>
      </c>
      <c r="AB91" s="123" t="s">
        <v>35</v>
      </c>
    </row>
    <row r="92">
      <c r="A92" s="14"/>
      <c r="B92" s="15" t="s">
        <v>40</v>
      </c>
      <c r="C92" s="12" t="s">
        <v>41</v>
      </c>
      <c r="D92" s="411">
        <f t="shared" si="22"/>
        <v>2.82</v>
      </c>
      <c r="E92" s="412">
        <v>3.01</v>
      </c>
      <c r="F92" s="413">
        <f t="shared" si="23"/>
        <v>-0.19</v>
      </c>
      <c r="G92" s="414">
        <f t="shared" si="24"/>
        <v>3.41</v>
      </c>
      <c r="H92" s="415">
        <v>1.12</v>
      </c>
      <c r="I92" s="54">
        <v>8.92</v>
      </c>
      <c r="J92" s="55">
        <f t="shared" si="25"/>
        <v>4.44</v>
      </c>
      <c r="K92" s="416">
        <f t="shared" si="26"/>
        <v>2.02</v>
      </c>
      <c r="L92" s="417">
        <f t="shared" si="27"/>
        <v>0.51</v>
      </c>
      <c r="M92" s="418">
        <f t="shared" si="28"/>
        <v>6.25</v>
      </c>
      <c r="N92" s="419">
        <v>71.2</v>
      </c>
      <c r="O92" s="12">
        <v>3.0</v>
      </c>
      <c r="P92" s="12">
        <v>14.0</v>
      </c>
      <c r="Q92" s="12">
        <v>14.0</v>
      </c>
      <c r="R92" s="12">
        <v>9.0</v>
      </c>
      <c r="S92" s="12">
        <v>1.0</v>
      </c>
      <c r="T92" s="12">
        <v>0.0</v>
      </c>
      <c r="U92" s="12">
        <v>64.0</v>
      </c>
      <c r="V92" s="12">
        <v>27.0</v>
      </c>
      <c r="W92" s="12">
        <v>24.0</v>
      </c>
      <c r="X92" s="12">
        <v>16.0</v>
      </c>
      <c r="Y92" s="12">
        <v>71.0</v>
      </c>
      <c r="Z92" s="12">
        <v>4.0</v>
      </c>
      <c r="AA92" s="12">
        <v>5.0</v>
      </c>
      <c r="AB92" s="12" t="s">
        <v>35</v>
      </c>
    </row>
    <row r="93">
      <c r="A93" s="14"/>
      <c r="B93" s="15" t="s">
        <v>33</v>
      </c>
      <c r="C93" s="12" t="s">
        <v>34</v>
      </c>
      <c r="D93" s="420">
        <f t="shared" si="22"/>
        <v>2.31</v>
      </c>
      <c r="E93" s="421">
        <v>3.33</v>
      </c>
      <c r="F93" s="422">
        <f t="shared" si="23"/>
        <v>-1.02</v>
      </c>
      <c r="G93" s="423">
        <f t="shared" si="24"/>
        <v>4.19</v>
      </c>
      <c r="H93" s="52">
        <v>1.19</v>
      </c>
      <c r="I93" s="21">
        <v>10.94</v>
      </c>
      <c r="J93" s="22">
        <f t="shared" si="25"/>
        <v>4.84</v>
      </c>
      <c r="K93" s="424">
        <f t="shared" si="26"/>
        <v>2.27</v>
      </c>
      <c r="L93" s="239">
        <f t="shared" si="27"/>
        <v>0.36</v>
      </c>
      <c r="M93" s="239">
        <f t="shared" si="28"/>
        <v>4.23</v>
      </c>
      <c r="N93" s="26">
        <v>75.2</v>
      </c>
      <c r="O93" s="12">
        <v>1.0</v>
      </c>
      <c r="P93" s="12">
        <v>14.0</v>
      </c>
      <c r="Q93" s="12">
        <v>13.0</v>
      </c>
      <c r="R93" s="12">
        <v>7.0</v>
      </c>
      <c r="S93" s="12">
        <v>1.0</v>
      </c>
      <c r="T93" s="12">
        <v>0.0</v>
      </c>
      <c r="U93" s="12">
        <v>71.0</v>
      </c>
      <c r="V93" s="12">
        <v>35.0</v>
      </c>
      <c r="W93" s="12">
        <v>28.0</v>
      </c>
      <c r="X93" s="12">
        <v>19.0</v>
      </c>
      <c r="Y93" s="12">
        <v>92.0</v>
      </c>
      <c r="Z93" s="12">
        <v>3.0</v>
      </c>
      <c r="AA93" s="12">
        <v>7.0</v>
      </c>
      <c r="AB93" s="12" t="s">
        <v>35</v>
      </c>
    </row>
    <row r="94">
      <c r="A94" s="14"/>
      <c r="B94" s="15" t="s">
        <v>83</v>
      </c>
      <c r="C94" s="12" t="s">
        <v>84</v>
      </c>
      <c r="D94" s="425">
        <f t="shared" si="22"/>
        <v>3.8</v>
      </c>
      <c r="E94" s="426">
        <v>3.45</v>
      </c>
      <c r="F94" s="427">
        <f t="shared" si="23"/>
        <v>0.35</v>
      </c>
      <c r="G94" s="101">
        <f t="shared" si="24"/>
        <v>4.8</v>
      </c>
      <c r="H94" s="428">
        <v>1.52</v>
      </c>
      <c r="I94" s="261">
        <v>7.2</v>
      </c>
      <c r="J94" s="262">
        <f t="shared" si="25"/>
        <v>1.3</v>
      </c>
      <c r="K94" s="429">
        <f t="shared" si="26"/>
        <v>5.55</v>
      </c>
      <c r="L94" s="256">
        <f t="shared" si="27"/>
        <v>0</v>
      </c>
      <c r="M94" s="256">
        <f t="shared" si="28"/>
        <v>0</v>
      </c>
      <c r="N94" s="430">
        <v>60.0</v>
      </c>
      <c r="O94" s="12">
        <v>1.0</v>
      </c>
      <c r="P94" s="12">
        <v>13.0</v>
      </c>
      <c r="Q94" s="12">
        <v>10.0</v>
      </c>
      <c r="R94" s="12">
        <v>3.0</v>
      </c>
      <c r="S94" s="12">
        <v>1.0</v>
      </c>
      <c r="T94" s="12">
        <v>0.0</v>
      </c>
      <c r="U94" s="12">
        <v>54.0</v>
      </c>
      <c r="V94" s="12">
        <v>32.0</v>
      </c>
      <c r="W94" s="12">
        <v>23.0</v>
      </c>
      <c r="X94" s="12">
        <v>37.0</v>
      </c>
      <c r="Y94" s="12">
        <v>48.0</v>
      </c>
      <c r="Z94" s="12">
        <v>0.0</v>
      </c>
      <c r="AA94" s="12">
        <v>7.0</v>
      </c>
      <c r="AB94" s="12" t="s">
        <v>35</v>
      </c>
    </row>
    <row r="95">
      <c r="A95" s="14"/>
      <c r="B95" s="15" t="s">
        <v>105</v>
      </c>
      <c r="C95" s="12" t="s">
        <v>106</v>
      </c>
      <c r="D95" s="431">
        <f t="shared" si="22"/>
        <v>4.36</v>
      </c>
      <c r="E95" s="146">
        <v>3.71</v>
      </c>
      <c r="F95" s="432">
        <f t="shared" si="23"/>
        <v>0.65</v>
      </c>
      <c r="G95" s="28">
        <f t="shared" si="24"/>
        <v>4.9</v>
      </c>
      <c r="H95" s="395">
        <v>1.28</v>
      </c>
      <c r="I95" s="429">
        <v>7.01</v>
      </c>
      <c r="J95" s="291">
        <f t="shared" si="25"/>
        <v>2.94</v>
      </c>
      <c r="K95" s="433">
        <f t="shared" si="26"/>
        <v>2.38</v>
      </c>
      <c r="L95" s="270">
        <f t="shared" si="27"/>
        <v>1.06</v>
      </c>
      <c r="M95" s="268">
        <f t="shared" si="28"/>
        <v>11.59</v>
      </c>
      <c r="N95" s="434">
        <v>68.0</v>
      </c>
      <c r="O95" s="12">
        <v>3.0</v>
      </c>
      <c r="P95" s="12">
        <v>15.0</v>
      </c>
      <c r="Q95" s="12">
        <v>9.0</v>
      </c>
      <c r="R95" s="12">
        <v>6.0</v>
      </c>
      <c r="S95" s="12">
        <v>6.0</v>
      </c>
      <c r="T95" s="12">
        <v>0.0</v>
      </c>
      <c r="U95" s="12">
        <v>69.0</v>
      </c>
      <c r="V95" s="12">
        <v>37.0</v>
      </c>
      <c r="W95" s="12">
        <v>28.0</v>
      </c>
      <c r="X95" s="12">
        <v>18.0</v>
      </c>
      <c r="Y95" s="12">
        <v>53.0</v>
      </c>
      <c r="Z95" s="12">
        <v>8.0</v>
      </c>
      <c r="AA95" s="12">
        <v>9.0</v>
      </c>
      <c r="AB95" s="12" t="s">
        <v>35</v>
      </c>
    </row>
    <row r="96">
      <c r="A96" s="14"/>
      <c r="B96" s="15" t="s">
        <v>38</v>
      </c>
      <c r="C96" s="12" t="s">
        <v>39</v>
      </c>
      <c r="D96" s="435">
        <f t="shared" si="22"/>
        <v>3.08</v>
      </c>
      <c r="E96" s="146">
        <v>3.72</v>
      </c>
      <c r="F96" s="40">
        <f t="shared" si="23"/>
        <v>-0.64</v>
      </c>
      <c r="G96" s="41">
        <f t="shared" si="24"/>
        <v>4.67</v>
      </c>
      <c r="H96" s="42">
        <v>1.23</v>
      </c>
      <c r="I96" s="43">
        <v>12.69</v>
      </c>
      <c r="J96" s="44">
        <f t="shared" si="25"/>
        <v>3.11</v>
      </c>
      <c r="K96" s="45">
        <f t="shared" si="26"/>
        <v>4.09</v>
      </c>
      <c r="L96" s="46">
        <f t="shared" si="27"/>
        <v>0.58</v>
      </c>
      <c r="M96" s="47">
        <f t="shared" si="28"/>
        <v>8.33</v>
      </c>
      <c r="N96" s="48">
        <v>77.1</v>
      </c>
      <c r="O96" s="12">
        <v>5.0</v>
      </c>
      <c r="P96" s="12">
        <v>14.0</v>
      </c>
      <c r="Q96" s="12">
        <v>14.0</v>
      </c>
      <c r="R96" s="12">
        <v>11.0</v>
      </c>
      <c r="S96" s="12">
        <v>1.0</v>
      </c>
      <c r="T96" s="12">
        <v>0.0</v>
      </c>
      <c r="U96" s="12">
        <v>60.0</v>
      </c>
      <c r="V96" s="12">
        <v>40.0</v>
      </c>
      <c r="W96" s="12">
        <v>32.0</v>
      </c>
      <c r="X96" s="12">
        <v>35.0</v>
      </c>
      <c r="Y96" s="12">
        <v>109.0</v>
      </c>
      <c r="Z96" s="12">
        <v>5.0</v>
      </c>
      <c r="AA96" s="12">
        <v>13.0</v>
      </c>
      <c r="AB96" s="12" t="s">
        <v>35</v>
      </c>
    </row>
    <row r="97">
      <c r="A97" s="14"/>
      <c r="B97" s="15" t="s">
        <v>36</v>
      </c>
      <c r="C97" s="12" t="s">
        <v>37</v>
      </c>
      <c r="D97" s="436">
        <f t="shared" si="22"/>
        <v>2.79</v>
      </c>
      <c r="E97" s="437">
        <v>3.91</v>
      </c>
      <c r="F97" s="438">
        <f t="shared" si="23"/>
        <v>-1.12</v>
      </c>
      <c r="G97" s="392">
        <f t="shared" si="24"/>
        <v>5.19</v>
      </c>
      <c r="H97" s="393">
        <v>1.11</v>
      </c>
      <c r="I97" s="394">
        <v>10.69</v>
      </c>
      <c r="J97" s="33">
        <f t="shared" si="25"/>
        <v>3.88</v>
      </c>
      <c r="K97" s="395">
        <f t="shared" si="26"/>
        <v>2.77</v>
      </c>
      <c r="L97" s="396">
        <f t="shared" si="27"/>
        <v>0.46</v>
      </c>
      <c r="M97" s="18">
        <f t="shared" si="28"/>
        <v>6.35</v>
      </c>
      <c r="N97" s="37">
        <v>78.1</v>
      </c>
      <c r="O97" s="12">
        <v>0.0</v>
      </c>
      <c r="P97" s="12">
        <v>18.0</v>
      </c>
      <c r="Q97" s="12">
        <v>16.0</v>
      </c>
      <c r="R97" s="12">
        <v>11.0</v>
      </c>
      <c r="S97" s="12">
        <v>4.0</v>
      </c>
      <c r="T97" s="12">
        <v>0.0</v>
      </c>
      <c r="U97" s="12">
        <v>63.0</v>
      </c>
      <c r="V97" s="12">
        <v>45.0</v>
      </c>
      <c r="W97" s="12">
        <v>34.0</v>
      </c>
      <c r="X97" s="12">
        <v>24.0</v>
      </c>
      <c r="Y97" s="12">
        <v>93.0</v>
      </c>
      <c r="Z97" s="12">
        <v>4.0</v>
      </c>
      <c r="AA97" s="12">
        <v>10.0</v>
      </c>
      <c r="AB97" s="12" t="s">
        <v>35</v>
      </c>
    </row>
    <row r="98">
      <c r="A98" s="14"/>
      <c r="B98" s="15" t="s">
        <v>73</v>
      </c>
      <c r="C98" s="439" t="s">
        <v>74</v>
      </c>
      <c r="D98" s="440">
        <f t="shared" si="22"/>
        <v>3.58</v>
      </c>
      <c r="E98" s="441">
        <v>3.95</v>
      </c>
      <c r="F98" s="442">
        <f t="shared" si="23"/>
        <v>-0.37</v>
      </c>
      <c r="G98" s="202">
        <f t="shared" si="24"/>
        <v>5.32</v>
      </c>
      <c r="H98" s="443">
        <v>1.62</v>
      </c>
      <c r="I98" s="211">
        <v>7.77</v>
      </c>
      <c r="J98" s="444">
        <f t="shared" si="25"/>
        <v>1.36</v>
      </c>
      <c r="K98" s="445">
        <f t="shared" si="26"/>
        <v>5.73</v>
      </c>
      <c r="L98" s="446">
        <f t="shared" si="27"/>
        <v>0.14</v>
      </c>
      <c r="M98" s="447">
        <f t="shared" si="28"/>
        <v>1.54</v>
      </c>
      <c r="N98" s="448">
        <v>66.0</v>
      </c>
      <c r="O98" s="12">
        <v>1.0</v>
      </c>
      <c r="P98" s="12">
        <v>18.0</v>
      </c>
      <c r="Q98" s="12">
        <v>6.0</v>
      </c>
      <c r="R98" s="12">
        <v>6.0</v>
      </c>
      <c r="S98" s="12">
        <v>4.0</v>
      </c>
      <c r="T98" s="12">
        <v>1.0</v>
      </c>
      <c r="U98" s="12">
        <v>65.0</v>
      </c>
      <c r="V98" s="12">
        <v>39.0</v>
      </c>
      <c r="W98" s="12">
        <v>29.0</v>
      </c>
      <c r="X98" s="12">
        <v>42.0</v>
      </c>
      <c r="Y98" s="12">
        <v>57.0</v>
      </c>
      <c r="Z98" s="12">
        <v>1.0</v>
      </c>
      <c r="AA98" s="12">
        <v>0.0</v>
      </c>
      <c r="AB98" s="12" t="s">
        <v>35</v>
      </c>
    </row>
    <row r="99">
      <c r="A99" s="14"/>
      <c r="B99" s="15" t="s">
        <v>44</v>
      </c>
      <c r="C99" s="12" t="s">
        <v>45</v>
      </c>
      <c r="D99" s="449">
        <f t="shared" si="22"/>
        <v>3</v>
      </c>
      <c r="E99" s="450">
        <v>3.97</v>
      </c>
      <c r="F99" s="451">
        <f t="shared" si="23"/>
        <v>-0.97</v>
      </c>
      <c r="G99" s="49">
        <f t="shared" si="24"/>
        <v>4.32</v>
      </c>
      <c r="H99" s="452">
        <v>1.21</v>
      </c>
      <c r="I99" s="72">
        <v>8.17</v>
      </c>
      <c r="J99" s="73">
        <f t="shared" si="25"/>
        <v>2.67</v>
      </c>
      <c r="K99" s="101">
        <f t="shared" si="26"/>
        <v>3.07</v>
      </c>
      <c r="L99" s="453">
        <f t="shared" si="27"/>
        <v>0.23</v>
      </c>
      <c r="M99" s="454">
        <f t="shared" si="28"/>
        <v>2.9</v>
      </c>
      <c r="N99" s="455">
        <v>79.1</v>
      </c>
      <c r="O99" s="12">
        <v>6.0</v>
      </c>
      <c r="P99" s="12">
        <v>15.0</v>
      </c>
      <c r="Q99" s="12">
        <v>12.0</v>
      </c>
      <c r="R99" s="12">
        <v>7.0</v>
      </c>
      <c r="S99" s="12">
        <v>0.0</v>
      </c>
      <c r="T99" s="12">
        <v>0.0</v>
      </c>
      <c r="U99" s="78">
        <v>69.0</v>
      </c>
      <c r="V99" s="78">
        <v>38.0</v>
      </c>
      <c r="W99" s="78">
        <v>35.0</v>
      </c>
      <c r="X99" s="78">
        <v>27.0</v>
      </c>
      <c r="Y99" s="78">
        <v>72.0</v>
      </c>
      <c r="Z99" s="12">
        <v>2.0</v>
      </c>
      <c r="AA99" s="12">
        <v>7.0</v>
      </c>
      <c r="AB99" s="12" t="s">
        <v>35</v>
      </c>
    </row>
    <row r="100">
      <c r="A100" s="14"/>
      <c r="B100" s="15" t="s">
        <v>50</v>
      </c>
      <c r="C100" s="12" t="s">
        <v>51</v>
      </c>
      <c r="D100" s="456">
        <f t="shared" si="22"/>
        <v>3.39</v>
      </c>
      <c r="E100" s="457">
        <v>4.17</v>
      </c>
      <c r="F100" s="100">
        <f t="shared" si="23"/>
        <v>-0.78</v>
      </c>
      <c r="G100" s="101">
        <f t="shared" si="24"/>
        <v>4.8</v>
      </c>
      <c r="H100" s="102">
        <v>1.32</v>
      </c>
      <c r="I100" s="103">
        <v>9.87</v>
      </c>
      <c r="J100" s="104">
        <f t="shared" si="25"/>
        <v>3.37</v>
      </c>
      <c r="K100" s="34">
        <f t="shared" si="26"/>
        <v>2.94</v>
      </c>
      <c r="L100" s="105">
        <f t="shared" si="27"/>
        <v>0.62</v>
      </c>
      <c r="M100" s="87">
        <f t="shared" si="28"/>
        <v>6.9</v>
      </c>
      <c r="N100" s="106">
        <v>58.1</v>
      </c>
      <c r="O100" s="12">
        <v>0.0</v>
      </c>
      <c r="P100" s="12">
        <v>14.0</v>
      </c>
      <c r="Q100" s="12">
        <v>12.0</v>
      </c>
      <c r="R100" s="12">
        <v>3.0</v>
      </c>
      <c r="S100" s="12">
        <v>2.0</v>
      </c>
      <c r="T100" s="12">
        <v>1.0</v>
      </c>
      <c r="U100" s="12">
        <v>58.0</v>
      </c>
      <c r="V100" s="12">
        <v>31.0</v>
      </c>
      <c r="W100" s="12">
        <v>27.0</v>
      </c>
      <c r="X100" s="12">
        <v>19.0</v>
      </c>
      <c r="Y100" s="12">
        <v>64.0</v>
      </c>
      <c r="Z100" s="12">
        <v>4.0</v>
      </c>
      <c r="AA100" s="12">
        <v>10.0</v>
      </c>
      <c r="AB100" s="12" t="s">
        <v>35</v>
      </c>
    </row>
    <row r="101">
      <c r="A101" s="14"/>
      <c r="B101" s="15" t="s">
        <v>107</v>
      </c>
      <c r="C101" s="12" t="s">
        <v>108</v>
      </c>
      <c r="D101" s="458">
        <f t="shared" si="22"/>
        <v>4.19</v>
      </c>
      <c r="E101" s="459">
        <v>4.44</v>
      </c>
      <c r="F101" s="460">
        <f t="shared" si="23"/>
        <v>-0.25</v>
      </c>
      <c r="G101" s="461">
        <f t="shared" si="24"/>
        <v>6.78</v>
      </c>
      <c r="H101" s="462">
        <v>1.27</v>
      </c>
      <c r="I101" s="463">
        <v>7.52</v>
      </c>
      <c r="J101" s="464">
        <f t="shared" si="25"/>
        <v>2.44</v>
      </c>
      <c r="K101" s="174">
        <f t="shared" si="26"/>
        <v>3.08</v>
      </c>
      <c r="L101" s="105">
        <f t="shared" si="27"/>
        <v>0.62</v>
      </c>
      <c r="M101" s="311">
        <f t="shared" si="28"/>
        <v>7.35</v>
      </c>
      <c r="N101" s="465">
        <v>73.0</v>
      </c>
      <c r="O101" s="12">
        <v>5.0</v>
      </c>
      <c r="P101" s="12">
        <v>16.0</v>
      </c>
      <c r="Q101" s="12">
        <v>16.0</v>
      </c>
      <c r="R101" s="12">
        <v>9.0</v>
      </c>
      <c r="S101" s="12">
        <v>3.0</v>
      </c>
      <c r="T101" s="12">
        <v>0.0</v>
      </c>
      <c r="U101" s="12">
        <v>68.0</v>
      </c>
      <c r="V101" s="12">
        <v>55.0</v>
      </c>
      <c r="W101" s="12">
        <v>36.0</v>
      </c>
      <c r="X101" s="12">
        <v>25.0</v>
      </c>
      <c r="Y101" s="12">
        <v>61.0</v>
      </c>
      <c r="Z101" s="12">
        <v>5.0</v>
      </c>
      <c r="AA101" s="12">
        <v>18.0</v>
      </c>
      <c r="AB101" s="12" t="s">
        <v>35</v>
      </c>
    </row>
    <row r="102">
      <c r="A102" s="14"/>
      <c r="B102" s="15" t="s">
        <v>109</v>
      </c>
      <c r="C102" s="12" t="s">
        <v>110</v>
      </c>
      <c r="D102" s="466">
        <f t="shared" si="22"/>
        <v>3.89</v>
      </c>
      <c r="E102" s="467">
        <v>4.48</v>
      </c>
      <c r="F102" s="468">
        <f t="shared" si="23"/>
        <v>-0.59</v>
      </c>
      <c r="G102" s="469">
        <f t="shared" si="24"/>
        <v>6.23</v>
      </c>
      <c r="H102" s="470">
        <v>1.36</v>
      </c>
      <c r="I102" s="471">
        <v>7.65</v>
      </c>
      <c r="J102" s="472">
        <f t="shared" si="25"/>
        <v>3.31</v>
      </c>
      <c r="K102" s="473">
        <f t="shared" si="26"/>
        <v>2.32</v>
      </c>
      <c r="L102" s="298">
        <f t="shared" si="27"/>
        <v>0.72</v>
      </c>
      <c r="M102" s="364">
        <f t="shared" si="28"/>
        <v>7.25</v>
      </c>
      <c r="N102" s="474">
        <v>62.1</v>
      </c>
      <c r="O102" s="12">
        <v>0.0</v>
      </c>
      <c r="P102" s="12">
        <v>15.0</v>
      </c>
      <c r="Q102" s="12">
        <v>15.0</v>
      </c>
      <c r="R102" s="12">
        <v>4.0</v>
      </c>
      <c r="S102" s="12">
        <v>4.0</v>
      </c>
      <c r="T102" s="12">
        <v>0.0</v>
      </c>
      <c r="U102" s="12">
        <v>69.0</v>
      </c>
      <c r="V102" s="12">
        <v>43.0</v>
      </c>
      <c r="W102" s="12">
        <v>31.0</v>
      </c>
      <c r="X102" s="12">
        <v>16.0</v>
      </c>
      <c r="Y102" s="12">
        <v>53.0</v>
      </c>
      <c r="Z102" s="12">
        <v>5.0</v>
      </c>
      <c r="AA102" s="12">
        <v>12.0</v>
      </c>
      <c r="AB102" s="12" t="s">
        <v>35</v>
      </c>
    </row>
    <row r="103">
      <c r="A103" s="14"/>
      <c r="B103" s="15" t="s">
        <v>111</v>
      </c>
      <c r="C103" s="12" t="s">
        <v>112</v>
      </c>
      <c r="D103" s="475">
        <f t="shared" si="22"/>
        <v>4</v>
      </c>
      <c r="E103" s="476">
        <v>4.72</v>
      </c>
      <c r="F103" s="477">
        <f t="shared" si="23"/>
        <v>-0.72</v>
      </c>
      <c r="G103" s="45">
        <f t="shared" si="24"/>
        <v>5.85</v>
      </c>
      <c r="H103" s="478">
        <v>1.42</v>
      </c>
      <c r="I103" s="479">
        <v>6.21</v>
      </c>
      <c r="J103" s="321">
        <f t="shared" si="25"/>
        <v>2</v>
      </c>
      <c r="K103" s="340">
        <f t="shared" si="26"/>
        <v>3.13</v>
      </c>
      <c r="L103" s="18">
        <f t="shared" si="27"/>
        <v>0.54</v>
      </c>
      <c r="M103" s="480">
        <f t="shared" si="28"/>
        <v>5.56</v>
      </c>
      <c r="N103" s="18">
        <v>66.2</v>
      </c>
      <c r="O103" s="12">
        <v>0.0</v>
      </c>
      <c r="P103" s="12">
        <v>28.0</v>
      </c>
      <c r="Q103" s="12">
        <v>2.0</v>
      </c>
      <c r="R103" s="12">
        <v>7.0</v>
      </c>
      <c r="S103" s="12">
        <v>2.0</v>
      </c>
      <c r="T103" s="12">
        <v>1.0</v>
      </c>
      <c r="U103" s="12">
        <v>72.0</v>
      </c>
      <c r="V103" s="12">
        <v>43.0</v>
      </c>
      <c r="W103" s="12">
        <v>35.0</v>
      </c>
      <c r="X103" s="12">
        <v>23.0</v>
      </c>
      <c r="Y103" s="12">
        <v>46.0</v>
      </c>
      <c r="Z103" s="12">
        <v>4.0</v>
      </c>
      <c r="AA103" s="12">
        <v>8.0</v>
      </c>
      <c r="AB103" s="12" t="s">
        <v>35</v>
      </c>
    </row>
    <row r="104">
      <c r="A104" s="14"/>
      <c r="B104" s="15" t="s">
        <v>113</v>
      </c>
      <c r="C104" s="12" t="s">
        <v>114</v>
      </c>
      <c r="D104" s="481">
        <f t="shared" si="22"/>
        <v>4.21</v>
      </c>
      <c r="E104" s="482">
        <v>4.84</v>
      </c>
      <c r="F104" s="148">
        <f t="shared" si="23"/>
        <v>-0.63</v>
      </c>
      <c r="G104" s="418">
        <f t="shared" si="24"/>
        <v>5.45</v>
      </c>
      <c r="H104" s="92">
        <v>1.48</v>
      </c>
      <c r="I104" s="248">
        <v>8.22</v>
      </c>
      <c r="J104" s="483">
        <f t="shared" si="25"/>
        <v>1.24</v>
      </c>
      <c r="K104" s="484">
        <f t="shared" si="26"/>
        <v>6.63</v>
      </c>
      <c r="L104" s="256">
        <f t="shared" si="27"/>
        <v>0</v>
      </c>
      <c r="M104" s="256">
        <f t="shared" si="28"/>
        <v>0</v>
      </c>
      <c r="N104" s="485">
        <v>61.1</v>
      </c>
      <c r="O104" s="12">
        <v>1.0</v>
      </c>
      <c r="P104" s="12">
        <v>15.0</v>
      </c>
      <c r="Q104" s="12">
        <v>14.0</v>
      </c>
      <c r="R104" s="12">
        <v>6.0</v>
      </c>
      <c r="S104" s="12">
        <v>5.0</v>
      </c>
      <c r="T104" s="12">
        <v>0.0</v>
      </c>
      <c r="U104" s="12">
        <v>46.0</v>
      </c>
      <c r="V104" s="12">
        <v>37.0</v>
      </c>
      <c r="W104" s="12">
        <v>33.0</v>
      </c>
      <c r="X104" s="12">
        <v>45.0</v>
      </c>
      <c r="Y104" s="12">
        <v>56.0</v>
      </c>
      <c r="Z104" s="12">
        <v>0.0</v>
      </c>
      <c r="AA104" s="12">
        <v>13.0</v>
      </c>
      <c r="AB104" s="12" t="s">
        <v>35</v>
      </c>
    </row>
    <row r="105">
      <c r="A105" s="14"/>
      <c r="B105" s="15" t="s">
        <v>115</v>
      </c>
      <c r="C105" s="12" t="s">
        <v>116</v>
      </c>
      <c r="D105" s="288">
        <f t="shared" si="22"/>
        <v>4.46</v>
      </c>
      <c r="E105" s="486">
        <v>4.89</v>
      </c>
      <c r="F105" s="487">
        <f t="shared" si="23"/>
        <v>-0.43</v>
      </c>
      <c r="G105" s="488">
        <f t="shared" si="24"/>
        <v>6.69</v>
      </c>
      <c r="H105" s="151">
        <v>1.51</v>
      </c>
      <c r="I105" s="314">
        <v>10.8</v>
      </c>
      <c r="J105" s="489">
        <f t="shared" si="25"/>
        <v>2.33</v>
      </c>
      <c r="K105" s="115">
        <f t="shared" si="26"/>
        <v>4.63</v>
      </c>
      <c r="L105" s="490">
        <f t="shared" si="27"/>
        <v>0.9</v>
      </c>
      <c r="M105" s="491">
        <f t="shared" si="28"/>
        <v>10</v>
      </c>
      <c r="N105" s="492">
        <v>70.0</v>
      </c>
      <c r="O105" s="12">
        <v>1.0</v>
      </c>
      <c r="P105" s="12">
        <v>25.0</v>
      </c>
      <c r="Q105" s="12">
        <v>5.0</v>
      </c>
      <c r="R105" s="12">
        <v>6.0</v>
      </c>
      <c r="S105" s="12">
        <v>7.0</v>
      </c>
      <c r="T105" s="12">
        <v>6.0</v>
      </c>
      <c r="U105" s="12">
        <v>70.0</v>
      </c>
      <c r="V105" s="12">
        <v>52.0</v>
      </c>
      <c r="W105" s="12">
        <v>38.0</v>
      </c>
      <c r="X105" s="12">
        <v>36.0</v>
      </c>
      <c r="Y105" s="12">
        <v>84.0</v>
      </c>
      <c r="Z105" s="12">
        <v>7.0</v>
      </c>
      <c r="AA105" s="12">
        <v>19.0</v>
      </c>
      <c r="AB105" s="12" t="s">
        <v>35</v>
      </c>
    </row>
    <row r="106">
      <c r="A106" s="14"/>
      <c r="B106" s="15" t="s">
        <v>85</v>
      </c>
      <c r="C106" s="12" t="s">
        <v>86</v>
      </c>
      <c r="D106" s="493">
        <f t="shared" si="22"/>
        <v>3.82</v>
      </c>
      <c r="E106" s="494">
        <v>4.9</v>
      </c>
      <c r="F106" s="495">
        <f t="shared" si="23"/>
        <v>-1.08</v>
      </c>
      <c r="G106" s="496">
        <f t="shared" si="24"/>
        <v>5.56</v>
      </c>
      <c r="H106" s="339">
        <v>1.41</v>
      </c>
      <c r="I106" s="43">
        <v>12.68</v>
      </c>
      <c r="J106" s="18">
        <f t="shared" si="25"/>
        <v>2.53</v>
      </c>
      <c r="K106" s="86">
        <f t="shared" si="26"/>
        <v>5.06</v>
      </c>
      <c r="L106" s="322">
        <f t="shared" si="27"/>
        <v>1.14</v>
      </c>
      <c r="M106" s="497">
        <f t="shared" si="28"/>
        <v>14.75</v>
      </c>
      <c r="N106" s="419">
        <v>71.2</v>
      </c>
      <c r="O106" s="12">
        <v>1.0</v>
      </c>
      <c r="P106" s="12">
        <v>18.0</v>
      </c>
      <c r="Q106" s="12">
        <v>11.0</v>
      </c>
      <c r="R106" s="12">
        <v>9.0</v>
      </c>
      <c r="S106" s="12">
        <v>2.0</v>
      </c>
      <c r="T106" s="12">
        <v>0.0</v>
      </c>
      <c r="U106" s="12">
        <v>61.0</v>
      </c>
      <c r="V106" s="12">
        <v>44.0</v>
      </c>
      <c r="W106" s="12">
        <v>39.0</v>
      </c>
      <c r="X106" s="12">
        <v>40.0</v>
      </c>
      <c r="Y106" s="12">
        <v>101.0</v>
      </c>
      <c r="Z106" s="12">
        <v>9.0</v>
      </c>
      <c r="AA106" s="12">
        <v>3.0</v>
      </c>
      <c r="AB106" s="12" t="s">
        <v>35</v>
      </c>
    </row>
    <row r="107">
      <c r="A107" s="14"/>
      <c r="B107" s="15" t="s">
        <v>117</v>
      </c>
      <c r="C107" s="12" t="s">
        <v>118</v>
      </c>
      <c r="D107" s="498">
        <f t="shared" si="22"/>
        <v>4.28</v>
      </c>
      <c r="E107" s="499">
        <v>5.03</v>
      </c>
      <c r="F107" s="500">
        <f t="shared" si="23"/>
        <v>-0.75</v>
      </c>
      <c r="G107" s="298">
        <f t="shared" si="24"/>
        <v>6.22</v>
      </c>
      <c r="H107" s="392">
        <v>1.34</v>
      </c>
      <c r="I107" s="501">
        <v>7.9</v>
      </c>
      <c r="J107" s="502">
        <f t="shared" si="25"/>
        <v>2.29</v>
      </c>
      <c r="K107" s="503">
        <f t="shared" si="26"/>
        <v>3.47</v>
      </c>
      <c r="L107" s="504">
        <f t="shared" si="27"/>
        <v>0.87</v>
      </c>
      <c r="M107" s="491">
        <f t="shared" si="28"/>
        <v>10</v>
      </c>
      <c r="N107" s="505">
        <v>62.2</v>
      </c>
      <c r="O107" s="12">
        <v>1.0</v>
      </c>
      <c r="P107" s="12">
        <v>17.0</v>
      </c>
      <c r="Q107" s="12">
        <v>11.0</v>
      </c>
      <c r="R107" s="12">
        <v>5.0</v>
      </c>
      <c r="S107" s="12">
        <v>5.0</v>
      </c>
      <c r="T107" s="12">
        <v>0.0</v>
      </c>
      <c r="U107" s="12">
        <v>60.0</v>
      </c>
      <c r="V107" s="12">
        <v>43.0</v>
      </c>
      <c r="W107" s="12">
        <v>35.0</v>
      </c>
      <c r="X107" s="12">
        <v>24.0</v>
      </c>
      <c r="Y107" s="12">
        <v>55.0</v>
      </c>
      <c r="Z107" s="12">
        <v>6.0</v>
      </c>
      <c r="AA107" s="12">
        <v>9.0</v>
      </c>
      <c r="AB107" s="12" t="s">
        <v>35</v>
      </c>
    </row>
    <row r="108">
      <c r="A108" s="14"/>
      <c r="B108" s="15" t="s">
        <v>119</v>
      </c>
      <c r="C108" s="12" t="s">
        <v>120</v>
      </c>
      <c r="D108" s="506">
        <f t="shared" si="22"/>
        <v>4.18</v>
      </c>
      <c r="E108" s="507">
        <v>5.04</v>
      </c>
      <c r="F108" s="508">
        <f t="shared" si="23"/>
        <v>-0.86</v>
      </c>
      <c r="G108" s="509">
        <f t="shared" si="24"/>
        <v>6.37</v>
      </c>
      <c r="H108" s="156">
        <v>1.68</v>
      </c>
      <c r="I108" s="510">
        <v>7.32</v>
      </c>
      <c r="J108" s="511">
        <f t="shared" si="25"/>
        <v>1.22</v>
      </c>
      <c r="K108" s="512">
        <f t="shared" si="26"/>
        <v>6.04</v>
      </c>
      <c r="L108" s="256">
        <f t="shared" si="27"/>
        <v>0</v>
      </c>
      <c r="M108" s="256">
        <f t="shared" si="28"/>
        <v>0</v>
      </c>
      <c r="N108" s="513">
        <v>55.1</v>
      </c>
      <c r="O108" s="12">
        <v>3.0</v>
      </c>
      <c r="P108" s="12">
        <v>16.0</v>
      </c>
      <c r="Q108" s="12">
        <v>8.0</v>
      </c>
      <c r="R108" s="12">
        <v>2.0</v>
      </c>
      <c r="S108" s="12">
        <v>5.0</v>
      </c>
      <c r="T108" s="12">
        <v>1.0</v>
      </c>
      <c r="U108" s="12">
        <v>56.0</v>
      </c>
      <c r="V108" s="12">
        <v>39.0</v>
      </c>
      <c r="W108" s="12">
        <v>31.0</v>
      </c>
      <c r="X108" s="12">
        <v>37.0</v>
      </c>
      <c r="Y108" s="12">
        <v>45.0</v>
      </c>
      <c r="Z108" s="12">
        <v>0.0</v>
      </c>
      <c r="AA108" s="12">
        <v>11.0</v>
      </c>
      <c r="AB108" s="12" t="s">
        <v>35</v>
      </c>
    </row>
    <row r="109">
      <c r="A109" s="14"/>
      <c r="B109" s="15" t="s">
        <v>42</v>
      </c>
      <c r="C109" s="12" t="s">
        <v>43</v>
      </c>
      <c r="D109" s="514">
        <f t="shared" si="22"/>
        <v>2.71</v>
      </c>
      <c r="E109" s="515">
        <v>5.18</v>
      </c>
      <c r="F109" s="516">
        <f t="shared" si="23"/>
        <v>-2.47</v>
      </c>
      <c r="G109" s="328">
        <f t="shared" si="24"/>
        <v>6.55</v>
      </c>
      <c r="H109" s="105">
        <v>1.53</v>
      </c>
      <c r="I109" s="63">
        <v>7.96</v>
      </c>
      <c r="J109" s="64">
        <f t="shared" si="25"/>
        <v>4.13</v>
      </c>
      <c r="K109" s="71">
        <f t="shared" si="26"/>
        <v>1.94</v>
      </c>
      <c r="L109" s="239">
        <f t="shared" si="27"/>
        <v>0.36</v>
      </c>
      <c r="M109" s="150">
        <f t="shared" si="28"/>
        <v>3.06</v>
      </c>
      <c r="N109" s="329">
        <v>74.2</v>
      </c>
      <c r="O109" s="12">
        <v>1.0</v>
      </c>
      <c r="P109" s="12">
        <v>15.0</v>
      </c>
      <c r="Q109" s="12">
        <v>14.0</v>
      </c>
      <c r="R109" s="12">
        <v>6.0</v>
      </c>
      <c r="S109" s="12">
        <v>7.0</v>
      </c>
      <c r="T109" s="12">
        <v>0.0</v>
      </c>
      <c r="U109" s="12">
        <v>98.0</v>
      </c>
      <c r="V109" s="12">
        <v>54.0</v>
      </c>
      <c r="W109" s="12">
        <v>43.0</v>
      </c>
      <c r="X109" s="12">
        <v>16.0</v>
      </c>
      <c r="Y109" s="12">
        <v>66.0</v>
      </c>
      <c r="Z109" s="12">
        <v>3.0</v>
      </c>
      <c r="AA109" s="12">
        <v>3.0</v>
      </c>
      <c r="AB109" s="12" t="s">
        <v>35</v>
      </c>
    </row>
    <row r="110">
      <c r="A110" s="14"/>
      <c r="B110" s="15" t="s">
        <v>52</v>
      </c>
      <c r="C110" s="12" t="s">
        <v>53</v>
      </c>
      <c r="D110" s="387">
        <f t="shared" si="22"/>
        <v>3.95</v>
      </c>
      <c r="E110" s="517">
        <v>5.2</v>
      </c>
      <c r="F110" s="108">
        <f t="shared" si="23"/>
        <v>-1.25</v>
      </c>
      <c r="G110" s="109">
        <f t="shared" si="24"/>
        <v>5.91</v>
      </c>
      <c r="H110" s="110">
        <v>1.64</v>
      </c>
      <c r="I110" s="111">
        <v>13.22</v>
      </c>
      <c r="J110" s="112">
        <f t="shared" si="25"/>
        <v>1.77</v>
      </c>
      <c r="K110" s="113">
        <f t="shared" si="26"/>
        <v>7.45</v>
      </c>
      <c r="L110" s="114">
        <f t="shared" si="27"/>
        <v>0.7</v>
      </c>
      <c r="M110" s="115">
        <f t="shared" si="28"/>
        <v>9.62</v>
      </c>
      <c r="N110" s="116">
        <v>64.0</v>
      </c>
      <c r="O110" s="12">
        <v>0.0</v>
      </c>
      <c r="P110" s="12">
        <v>14.0</v>
      </c>
      <c r="Q110" s="12">
        <v>14.0</v>
      </c>
      <c r="R110" s="12">
        <v>6.0</v>
      </c>
      <c r="S110" s="12">
        <v>2.0</v>
      </c>
      <c r="T110" s="12">
        <v>0.0</v>
      </c>
      <c r="U110" s="12">
        <v>52.0</v>
      </c>
      <c r="V110" s="12">
        <v>42.0</v>
      </c>
      <c r="W110" s="12">
        <v>37.0</v>
      </c>
      <c r="X110" s="12">
        <v>53.0</v>
      </c>
      <c r="Y110" s="12">
        <v>94.0</v>
      </c>
      <c r="Z110" s="12">
        <v>5.0</v>
      </c>
      <c r="AA110" s="12">
        <v>4.0</v>
      </c>
      <c r="AB110" s="12" t="s">
        <v>35</v>
      </c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121" t="s">
        <v>121</v>
      </c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122"/>
      <c r="B114" s="123" t="s">
        <v>6</v>
      </c>
      <c r="C114" s="123" t="s">
        <v>7</v>
      </c>
      <c r="D114" s="126" t="s">
        <v>8</v>
      </c>
      <c r="E114" s="126" t="s">
        <v>9</v>
      </c>
      <c r="F114" s="126" t="s">
        <v>10</v>
      </c>
      <c r="G114" s="126" t="s">
        <v>11</v>
      </c>
      <c r="H114" s="126" t="s">
        <v>12</v>
      </c>
      <c r="I114" s="126" t="s">
        <v>13</v>
      </c>
      <c r="J114" s="126" t="s">
        <v>14</v>
      </c>
      <c r="K114" s="126" t="s">
        <v>15</v>
      </c>
      <c r="L114" s="126" t="s">
        <v>16</v>
      </c>
      <c r="M114" s="397" t="s">
        <v>17</v>
      </c>
      <c r="N114" s="125" t="s">
        <v>18</v>
      </c>
      <c r="O114" s="126" t="s">
        <v>19</v>
      </c>
      <c r="P114" s="126" t="s">
        <v>20</v>
      </c>
      <c r="Q114" s="126" t="s">
        <v>21</v>
      </c>
      <c r="R114" s="126" t="s">
        <v>22</v>
      </c>
      <c r="S114" s="126" t="s">
        <v>23</v>
      </c>
      <c r="T114" s="126" t="s">
        <v>24</v>
      </c>
      <c r="U114" s="126" t="s">
        <v>25</v>
      </c>
      <c r="V114" s="126" t="s">
        <v>26</v>
      </c>
      <c r="W114" s="126" t="s">
        <v>27</v>
      </c>
      <c r="X114" s="126" t="s">
        <v>28</v>
      </c>
      <c r="Y114" s="126" t="s">
        <v>29</v>
      </c>
      <c r="Z114" s="126" t="s">
        <v>30</v>
      </c>
      <c r="AA114" s="126" t="s">
        <v>31</v>
      </c>
      <c r="AB114" s="126" t="s">
        <v>32</v>
      </c>
    </row>
    <row r="115">
      <c r="A115" s="398"/>
      <c r="B115" s="128" t="s">
        <v>97</v>
      </c>
      <c r="C115" s="123" t="s">
        <v>98</v>
      </c>
      <c r="D115" s="518">
        <f t="shared" ref="D115:D134" si="29">ROUND(3.2 + (13*(Z:Z) + 3*((X:X) +(AA:AA)) - 2*(Y:Y))/(N:N), 2)</f>
        <v>3.87</v>
      </c>
      <c r="E115" s="519">
        <v>6.05</v>
      </c>
      <c r="F115" s="520">
        <f t="shared" ref="F115:F134" si="30">ROUND((D:D)-(E:E), 2)</f>
        <v>-2.18</v>
      </c>
      <c r="G115" s="521">
        <f t="shared" ref="G115:G134" si="31">ROUND(9*((V:V)/(N:N)), 2)</f>
        <v>7.19</v>
      </c>
      <c r="H115" s="522">
        <v>1.71</v>
      </c>
      <c r="I115" s="523">
        <v>8.51</v>
      </c>
      <c r="J115" s="524">
        <f t="shared" ref="J115:J134" si="32">ROUND((Y:Y)/(X:X), 2)</f>
        <v>1.95</v>
      </c>
      <c r="K115" s="525">
        <f t="shared" ref="K115:K134" si="33">ROUND(9*((X:X)/(N:N)), 2)</f>
        <v>4.38</v>
      </c>
      <c r="L115" s="526">
        <f t="shared" ref="L115:L134" si="34">ROUND(9*((Z:Z)/(N:N)), 2)</f>
        <v>0.56</v>
      </c>
      <c r="M115" s="527">
        <f t="shared" ref="M115:M134" si="35">ROUND(100*(Z:Z)/(U:U), 2)</f>
        <v>5.1</v>
      </c>
      <c r="N115" s="528">
        <v>80.1</v>
      </c>
      <c r="O115" s="123">
        <v>1.0</v>
      </c>
      <c r="P115" s="123">
        <v>21.0</v>
      </c>
      <c r="Q115" s="123">
        <v>13.0</v>
      </c>
      <c r="R115" s="123">
        <v>5.0</v>
      </c>
      <c r="S115" s="123">
        <v>4.0</v>
      </c>
      <c r="T115" s="123">
        <v>0.0</v>
      </c>
      <c r="U115" s="123">
        <v>98.0</v>
      </c>
      <c r="V115" s="123">
        <v>64.0</v>
      </c>
      <c r="W115" s="529">
        <v>54.0</v>
      </c>
      <c r="X115" s="123">
        <v>39.0</v>
      </c>
      <c r="Y115" s="123">
        <v>76.0</v>
      </c>
      <c r="Z115" s="123">
        <v>5.0</v>
      </c>
      <c r="AA115" s="123">
        <v>8.0</v>
      </c>
      <c r="AB115" s="123" t="s">
        <v>35</v>
      </c>
    </row>
    <row r="116">
      <c r="A116" s="14"/>
      <c r="B116" s="15" t="s">
        <v>44</v>
      </c>
      <c r="C116" s="12" t="s">
        <v>45</v>
      </c>
      <c r="D116" s="395">
        <f t="shared" si="29"/>
        <v>3</v>
      </c>
      <c r="E116" s="104">
        <v>3.97</v>
      </c>
      <c r="F116" s="451">
        <f t="shared" si="30"/>
        <v>-0.97</v>
      </c>
      <c r="G116" s="49">
        <f t="shared" si="31"/>
        <v>4.32</v>
      </c>
      <c r="H116" s="452">
        <v>1.21</v>
      </c>
      <c r="I116" s="72">
        <v>8.17</v>
      </c>
      <c r="J116" s="73">
        <f t="shared" si="32"/>
        <v>2.67</v>
      </c>
      <c r="K116" s="101">
        <f t="shared" si="33"/>
        <v>3.07</v>
      </c>
      <c r="L116" s="453">
        <f t="shared" si="34"/>
        <v>0.23</v>
      </c>
      <c r="M116" s="530">
        <f t="shared" si="35"/>
        <v>2.9</v>
      </c>
      <c r="N116" s="531">
        <v>79.1</v>
      </c>
      <c r="O116" s="12">
        <v>6.0</v>
      </c>
      <c r="P116" s="12">
        <v>15.0</v>
      </c>
      <c r="Q116" s="12">
        <v>12.0</v>
      </c>
      <c r="R116" s="12">
        <v>7.0</v>
      </c>
      <c r="S116" s="12">
        <v>0.0</v>
      </c>
      <c r="T116" s="12">
        <v>0.0</v>
      </c>
      <c r="U116" s="78">
        <v>69.0</v>
      </c>
      <c r="V116" s="78">
        <v>38.0</v>
      </c>
      <c r="W116" s="78">
        <v>35.0</v>
      </c>
      <c r="X116" s="78">
        <v>27.0</v>
      </c>
      <c r="Y116" s="78">
        <v>72.0</v>
      </c>
      <c r="Z116" s="12">
        <v>2.0</v>
      </c>
      <c r="AA116" s="12">
        <v>7.0</v>
      </c>
      <c r="AB116" s="12" t="s">
        <v>35</v>
      </c>
    </row>
    <row r="117">
      <c r="A117" s="14"/>
      <c r="B117" s="15" t="s">
        <v>36</v>
      </c>
      <c r="C117" s="12" t="s">
        <v>37</v>
      </c>
      <c r="D117" s="19">
        <f t="shared" si="29"/>
        <v>2.79</v>
      </c>
      <c r="E117" s="102">
        <v>3.91</v>
      </c>
      <c r="F117" s="438">
        <f t="shared" si="30"/>
        <v>-1.12</v>
      </c>
      <c r="G117" s="392">
        <f t="shared" si="31"/>
        <v>5.19</v>
      </c>
      <c r="H117" s="393">
        <v>1.11</v>
      </c>
      <c r="I117" s="394">
        <v>10.69</v>
      </c>
      <c r="J117" s="33">
        <f t="shared" si="32"/>
        <v>3.88</v>
      </c>
      <c r="K117" s="395">
        <f t="shared" si="33"/>
        <v>2.77</v>
      </c>
      <c r="L117" s="396">
        <f t="shared" si="34"/>
        <v>0.46</v>
      </c>
      <c r="M117" s="532">
        <f t="shared" si="35"/>
        <v>6.35</v>
      </c>
      <c r="N117" s="533">
        <v>78.1</v>
      </c>
      <c r="O117" s="12">
        <v>0.0</v>
      </c>
      <c r="P117" s="12">
        <v>18.0</v>
      </c>
      <c r="Q117" s="12">
        <v>16.0</v>
      </c>
      <c r="R117" s="12">
        <v>11.0</v>
      </c>
      <c r="S117" s="12">
        <v>4.0</v>
      </c>
      <c r="T117" s="12">
        <v>0.0</v>
      </c>
      <c r="U117" s="12">
        <v>63.0</v>
      </c>
      <c r="V117" s="12">
        <v>45.0</v>
      </c>
      <c r="W117" s="12">
        <v>34.0</v>
      </c>
      <c r="X117" s="12">
        <v>24.0</v>
      </c>
      <c r="Y117" s="12">
        <v>93.0</v>
      </c>
      <c r="Z117" s="12">
        <v>4.0</v>
      </c>
      <c r="AA117" s="12">
        <v>10.0</v>
      </c>
      <c r="AB117" s="12" t="s">
        <v>35</v>
      </c>
    </row>
    <row r="118">
      <c r="A118" s="14"/>
      <c r="B118" s="15" t="s">
        <v>38</v>
      </c>
      <c r="C118" s="12" t="s">
        <v>39</v>
      </c>
      <c r="D118" s="38">
        <f t="shared" si="29"/>
        <v>3.08</v>
      </c>
      <c r="E118" s="39">
        <v>3.72</v>
      </c>
      <c r="F118" s="40">
        <f t="shared" si="30"/>
        <v>-0.64</v>
      </c>
      <c r="G118" s="41">
        <f t="shared" si="31"/>
        <v>4.67</v>
      </c>
      <c r="H118" s="42">
        <v>1.23</v>
      </c>
      <c r="I118" s="43">
        <v>12.69</v>
      </c>
      <c r="J118" s="44">
        <f t="shared" si="32"/>
        <v>3.11</v>
      </c>
      <c r="K118" s="45">
        <f t="shared" si="33"/>
        <v>4.09</v>
      </c>
      <c r="L118" s="46">
        <f t="shared" si="34"/>
        <v>0.58</v>
      </c>
      <c r="M118" s="534">
        <f t="shared" si="35"/>
        <v>8.33</v>
      </c>
      <c r="N118" s="535">
        <v>77.1</v>
      </c>
      <c r="O118" s="12">
        <v>5.0</v>
      </c>
      <c r="P118" s="12">
        <v>14.0</v>
      </c>
      <c r="Q118" s="12">
        <v>14.0</v>
      </c>
      <c r="R118" s="12">
        <v>11.0</v>
      </c>
      <c r="S118" s="12">
        <v>1.0</v>
      </c>
      <c r="T118" s="12">
        <v>0.0</v>
      </c>
      <c r="U118" s="12">
        <v>60.0</v>
      </c>
      <c r="V118" s="12">
        <v>40.0</v>
      </c>
      <c r="W118" s="12">
        <v>32.0</v>
      </c>
      <c r="X118" s="12">
        <v>35.0</v>
      </c>
      <c r="Y118" s="12">
        <v>109.0</v>
      </c>
      <c r="Z118" s="12">
        <v>5.0</v>
      </c>
      <c r="AA118" s="12">
        <v>13.0</v>
      </c>
      <c r="AB118" s="12" t="s">
        <v>35</v>
      </c>
    </row>
    <row r="119">
      <c r="A119" s="14"/>
      <c r="B119" s="15" t="s">
        <v>33</v>
      </c>
      <c r="C119" s="12" t="s">
        <v>34</v>
      </c>
      <c r="D119" s="536">
        <f t="shared" si="29"/>
        <v>2.31</v>
      </c>
      <c r="E119" s="537">
        <v>3.33</v>
      </c>
      <c r="F119" s="422">
        <f t="shared" si="30"/>
        <v>-1.02</v>
      </c>
      <c r="G119" s="423">
        <f t="shared" si="31"/>
        <v>4.19</v>
      </c>
      <c r="H119" s="52">
        <v>1.19</v>
      </c>
      <c r="I119" s="21">
        <v>10.94</v>
      </c>
      <c r="J119" s="22">
        <f t="shared" si="32"/>
        <v>4.84</v>
      </c>
      <c r="K119" s="424">
        <f t="shared" si="33"/>
        <v>2.27</v>
      </c>
      <c r="L119" s="239">
        <f t="shared" si="34"/>
        <v>0.36</v>
      </c>
      <c r="M119" s="538">
        <f t="shared" si="35"/>
        <v>4.23</v>
      </c>
      <c r="N119" s="539">
        <v>75.2</v>
      </c>
      <c r="O119" s="12">
        <v>1.0</v>
      </c>
      <c r="P119" s="12">
        <v>14.0</v>
      </c>
      <c r="Q119" s="12">
        <v>13.0</v>
      </c>
      <c r="R119" s="12">
        <v>7.0</v>
      </c>
      <c r="S119" s="12">
        <v>1.0</v>
      </c>
      <c r="T119" s="12">
        <v>0.0</v>
      </c>
      <c r="U119" s="12">
        <v>71.0</v>
      </c>
      <c r="V119" s="12">
        <v>35.0</v>
      </c>
      <c r="W119" s="12">
        <v>28.0</v>
      </c>
      <c r="X119" s="12">
        <v>19.0</v>
      </c>
      <c r="Y119" s="12">
        <v>92.0</v>
      </c>
      <c r="Z119" s="12">
        <v>3.0</v>
      </c>
      <c r="AA119" s="12">
        <v>7.0</v>
      </c>
      <c r="AB119" s="12" t="s">
        <v>35</v>
      </c>
    </row>
    <row r="120">
      <c r="A120" s="14"/>
      <c r="B120" s="15" t="s">
        <v>46</v>
      </c>
      <c r="C120" s="12" t="s">
        <v>47</v>
      </c>
      <c r="D120" s="79">
        <f t="shared" si="29"/>
        <v>3.11</v>
      </c>
      <c r="E120" s="80">
        <v>6.33</v>
      </c>
      <c r="F120" s="81">
        <f t="shared" si="30"/>
        <v>-3.22</v>
      </c>
      <c r="G120" s="82">
        <f t="shared" si="31"/>
        <v>7.67</v>
      </c>
      <c r="H120" s="83">
        <v>1.69</v>
      </c>
      <c r="I120" s="84">
        <v>10.87</v>
      </c>
      <c r="J120" s="85">
        <f t="shared" si="32"/>
        <v>3.64</v>
      </c>
      <c r="K120" s="39">
        <f t="shared" si="33"/>
        <v>3</v>
      </c>
      <c r="L120" s="86">
        <f t="shared" si="34"/>
        <v>0.84</v>
      </c>
      <c r="M120" s="540">
        <f t="shared" si="35"/>
        <v>6.86</v>
      </c>
      <c r="N120" s="541">
        <v>75.1</v>
      </c>
      <c r="O120" s="12">
        <v>0.0</v>
      </c>
      <c r="P120" s="12">
        <v>16.0</v>
      </c>
      <c r="Q120" s="12">
        <v>0.0</v>
      </c>
      <c r="R120" s="12">
        <v>6.0</v>
      </c>
      <c r="S120" s="12">
        <v>5.0</v>
      </c>
      <c r="T120" s="12">
        <v>0.0</v>
      </c>
      <c r="U120" s="12">
        <v>102.0</v>
      </c>
      <c r="V120" s="12">
        <v>64.0</v>
      </c>
      <c r="W120" s="160">
        <v>53.0</v>
      </c>
      <c r="X120" s="12">
        <v>25.0</v>
      </c>
      <c r="Y120" s="12">
        <v>91.0</v>
      </c>
      <c r="Z120" s="12">
        <v>7.0</v>
      </c>
      <c r="AA120" s="12">
        <v>3.0</v>
      </c>
      <c r="AB120" s="12" t="s">
        <v>35</v>
      </c>
    </row>
    <row r="121">
      <c r="A121" s="14"/>
      <c r="B121" s="15" t="s">
        <v>75</v>
      </c>
      <c r="C121" s="12" t="s">
        <v>68</v>
      </c>
      <c r="D121" s="202">
        <f t="shared" si="29"/>
        <v>3.61</v>
      </c>
      <c r="E121" s="542">
        <v>2.64</v>
      </c>
      <c r="F121" s="543">
        <f t="shared" si="30"/>
        <v>0.97</v>
      </c>
      <c r="G121" s="453">
        <f t="shared" si="31"/>
        <v>3.6</v>
      </c>
      <c r="H121" s="452">
        <v>1.21</v>
      </c>
      <c r="I121" s="219">
        <v>4.8</v>
      </c>
      <c r="J121" s="220">
        <f t="shared" si="32"/>
        <v>1.67</v>
      </c>
      <c r="K121" s="68">
        <f t="shared" si="33"/>
        <v>2.88</v>
      </c>
      <c r="L121" s="239">
        <f t="shared" si="34"/>
        <v>0.36</v>
      </c>
      <c r="M121" s="544">
        <f t="shared" si="35"/>
        <v>4.48</v>
      </c>
      <c r="N121" s="545">
        <v>75.0</v>
      </c>
      <c r="O121" s="222">
        <v>6.0</v>
      </c>
      <c r="P121" s="12">
        <v>13.0</v>
      </c>
      <c r="Q121" s="12">
        <v>12.0</v>
      </c>
      <c r="R121" s="12">
        <v>7.0</v>
      </c>
      <c r="S121" s="12">
        <v>3.0</v>
      </c>
      <c r="T121" s="12">
        <v>0.0</v>
      </c>
      <c r="U121" s="12">
        <v>67.0</v>
      </c>
      <c r="V121" s="12">
        <v>30.0</v>
      </c>
      <c r="W121" s="12">
        <v>22.0</v>
      </c>
      <c r="X121" s="12">
        <v>24.0</v>
      </c>
      <c r="Y121" s="12">
        <v>40.0</v>
      </c>
      <c r="Z121" s="12">
        <v>3.0</v>
      </c>
      <c r="AA121" s="12">
        <v>0.0</v>
      </c>
      <c r="AB121" s="12" t="s">
        <v>35</v>
      </c>
    </row>
    <row r="122">
      <c r="A122" s="14"/>
      <c r="B122" s="15" t="s">
        <v>42</v>
      </c>
      <c r="C122" s="12" t="s">
        <v>43</v>
      </c>
      <c r="D122" s="23">
        <f t="shared" si="29"/>
        <v>2.71</v>
      </c>
      <c r="E122" s="546">
        <v>5.18</v>
      </c>
      <c r="F122" s="516">
        <f t="shared" si="30"/>
        <v>-2.47</v>
      </c>
      <c r="G122" s="328">
        <f t="shared" si="31"/>
        <v>6.55</v>
      </c>
      <c r="H122" s="105">
        <v>1.53</v>
      </c>
      <c r="I122" s="63">
        <v>7.96</v>
      </c>
      <c r="J122" s="64">
        <f t="shared" si="32"/>
        <v>4.13</v>
      </c>
      <c r="K122" s="71">
        <f t="shared" si="33"/>
        <v>1.94</v>
      </c>
      <c r="L122" s="239">
        <f t="shared" si="34"/>
        <v>0.36</v>
      </c>
      <c r="M122" s="547">
        <f t="shared" si="35"/>
        <v>3.06</v>
      </c>
      <c r="N122" s="548">
        <v>74.2</v>
      </c>
      <c r="O122" s="12">
        <v>1.0</v>
      </c>
      <c r="P122" s="12">
        <v>15.0</v>
      </c>
      <c r="Q122" s="12">
        <v>14.0</v>
      </c>
      <c r="R122" s="12">
        <v>6.0</v>
      </c>
      <c r="S122" s="12">
        <v>7.0</v>
      </c>
      <c r="T122" s="12">
        <v>0.0</v>
      </c>
      <c r="U122" s="12">
        <v>98.0</v>
      </c>
      <c r="V122" s="12">
        <v>54.0</v>
      </c>
      <c r="W122" s="12">
        <v>43.0</v>
      </c>
      <c r="X122" s="12">
        <v>16.0</v>
      </c>
      <c r="Y122" s="12">
        <v>66.0</v>
      </c>
      <c r="Z122" s="12">
        <v>3.0</v>
      </c>
      <c r="AA122" s="12">
        <v>3.0</v>
      </c>
      <c r="AB122" s="12" t="s">
        <v>35</v>
      </c>
    </row>
    <row r="123">
      <c r="A123" s="14"/>
      <c r="B123" s="15" t="s">
        <v>107</v>
      </c>
      <c r="C123" s="12" t="s">
        <v>108</v>
      </c>
      <c r="D123" s="497">
        <f t="shared" si="29"/>
        <v>4.19</v>
      </c>
      <c r="E123" s="549">
        <v>4.44</v>
      </c>
      <c r="F123" s="460">
        <f t="shared" si="30"/>
        <v>-0.25</v>
      </c>
      <c r="G123" s="461">
        <f t="shared" si="31"/>
        <v>6.78</v>
      </c>
      <c r="H123" s="462">
        <v>1.27</v>
      </c>
      <c r="I123" s="463">
        <v>7.52</v>
      </c>
      <c r="J123" s="464">
        <f t="shared" si="32"/>
        <v>2.44</v>
      </c>
      <c r="K123" s="174">
        <f t="shared" si="33"/>
        <v>3.08</v>
      </c>
      <c r="L123" s="105">
        <f t="shared" si="34"/>
        <v>0.62</v>
      </c>
      <c r="M123" s="550">
        <f t="shared" si="35"/>
        <v>7.35</v>
      </c>
      <c r="N123" s="551">
        <v>73.0</v>
      </c>
      <c r="O123" s="12">
        <v>5.0</v>
      </c>
      <c r="P123" s="12">
        <v>16.0</v>
      </c>
      <c r="Q123" s="12">
        <v>16.0</v>
      </c>
      <c r="R123" s="12">
        <v>9.0</v>
      </c>
      <c r="S123" s="12">
        <v>3.0</v>
      </c>
      <c r="T123" s="12">
        <v>0.0</v>
      </c>
      <c r="U123" s="12">
        <v>68.0</v>
      </c>
      <c r="V123" s="12">
        <v>55.0</v>
      </c>
      <c r="W123" s="12">
        <v>36.0</v>
      </c>
      <c r="X123" s="12">
        <v>25.0</v>
      </c>
      <c r="Y123" s="12">
        <v>61.0</v>
      </c>
      <c r="Z123" s="12">
        <v>5.0</v>
      </c>
      <c r="AA123" s="12">
        <v>18.0</v>
      </c>
      <c r="AB123" s="12" t="s">
        <v>35</v>
      </c>
    </row>
    <row r="124">
      <c r="A124" s="14"/>
      <c r="B124" s="15" t="s">
        <v>40</v>
      </c>
      <c r="C124" s="12" t="s">
        <v>41</v>
      </c>
      <c r="D124" s="203">
        <f t="shared" si="29"/>
        <v>2.82</v>
      </c>
      <c r="E124" s="42">
        <v>3.01</v>
      </c>
      <c r="F124" s="413">
        <f t="shared" si="30"/>
        <v>-0.19</v>
      </c>
      <c r="G124" s="414">
        <f t="shared" si="31"/>
        <v>3.41</v>
      </c>
      <c r="H124" s="415">
        <v>1.12</v>
      </c>
      <c r="I124" s="54">
        <v>8.92</v>
      </c>
      <c r="J124" s="55">
        <f t="shared" si="32"/>
        <v>4.44</v>
      </c>
      <c r="K124" s="416">
        <f t="shared" si="33"/>
        <v>2.02</v>
      </c>
      <c r="L124" s="417">
        <f t="shared" si="34"/>
        <v>0.51</v>
      </c>
      <c r="M124" s="552">
        <f t="shared" si="35"/>
        <v>6.25</v>
      </c>
      <c r="N124" s="553">
        <v>71.2</v>
      </c>
      <c r="O124" s="12">
        <v>3.0</v>
      </c>
      <c r="P124" s="12">
        <v>14.0</v>
      </c>
      <c r="Q124" s="12">
        <v>14.0</v>
      </c>
      <c r="R124" s="12">
        <v>9.0</v>
      </c>
      <c r="S124" s="12">
        <v>1.0</v>
      </c>
      <c r="T124" s="12">
        <v>0.0</v>
      </c>
      <c r="U124" s="12">
        <v>64.0</v>
      </c>
      <c r="V124" s="12">
        <v>27.0</v>
      </c>
      <c r="W124" s="12">
        <v>24.0</v>
      </c>
      <c r="X124" s="12">
        <v>16.0</v>
      </c>
      <c r="Y124" s="12">
        <v>71.0</v>
      </c>
      <c r="Z124" s="12">
        <v>4.0</v>
      </c>
      <c r="AA124" s="12">
        <v>5.0</v>
      </c>
      <c r="AB124" s="12" t="s">
        <v>35</v>
      </c>
    </row>
    <row r="125">
      <c r="A125" s="14"/>
      <c r="B125" s="15" t="s">
        <v>85</v>
      </c>
      <c r="C125" s="12" t="s">
        <v>86</v>
      </c>
      <c r="D125" s="109">
        <f t="shared" si="29"/>
        <v>3.82</v>
      </c>
      <c r="E125" s="114">
        <v>4.9</v>
      </c>
      <c r="F125" s="495">
        <f t="shared" si="30"/>
        <v>-1.08</v>
      </c>
      <c r="G125" s="496">
        <f t="shared" si="31"/>
        <v>5.56</v>
      </c>
      <c r="H125" s="339">
        <v>1.41</v>
      </c>
      <c r="I125" s="43">
        <v>12.68</v>
      </c>
      <c r="J125" s="18">
        <f t="shared" si="32"/>
        <v>2.53</v>
      </c>
      <c r="K125" s="86">
        <f t="shared" si="33"/>
        <v>5.06</v>
      </c>
      <c r="L125" s="322">
        <f t="shared" si="34"/>
        <v>1.14</v>
      </c>
      <c r="M125" s="458">
        <f t="shared" si="35"/>
        <v>14.75</v>
      </c>
      <c r="N125" s="553">
        <v>71.2</v>
      </c>
      <c r="O125" s="12">
        <v>1.0</v>
      </c>
      <c r="P125" s="12">
        <v>18.0</v>
      </c>
      <c r="Q125" s="12">
        <v>11.0</v>
      </c>
      <c r="R125" s="12">
        <v>9.0</v>
      </c>
      <c r="S125" s="12">
        <v>2.0</v>
      </c>
      <c r="T125" s="12">
        <v>0.0</v>
      </c>
      <c r="U125" s="12">
        <v>61.0</v>
      </c>
      <c r="V125" s="12">
        <v>44.0</v>
      </c>
      <c r="W125" s="12">
        <v>39.0</v>
      </c>
      <c r="X125" s="12">
        <v>40.0</v>
      </c>
      <c r="Y125" s="12">
        <v>101.0</v>
      </c>
      <c r="Z125" s="12">
        <v>9.0</v>
      </c>
      <c r="AA125" s="12">
        <v>3.0</v>
      </c>
      <c r="AB125" s="12" t="s">
        <v>35</v>
      </c>
    </row>
    <row r="126">
      <c r="A126" s="14"/>
      <c r="B126" s="15" t="s">
        <v>115</v>
      </c>
      <c r="C126" s="12" t="s">
        <v>116</v>
      </c>
      <c r="D126" s="113">
        <f t="shared" si="29"/>
        <v>4.46</v>
      </c>
      <c r="E126" s="307">
        <v>4.89</v>
      </c>
      <c r="F126" s="487">
        <f t="shared" si="30"/>
        <v>-0.43</v>
      </c>
      <c r="G126" s="488">
        <f t="shared" si="31"/>
        <v>6.69</v>
      </c>
      <c r="H126" s="151">
        <v>1.51</v>
      </c>
      <c r="I126" s="314">
        <v>10.8</v>
      </c>
      <c r="J126" s="489">
        <f t="shared" si="32"/>
        <v>2.33</v>
      </c>
      <c r="K126" s="115">
        <f t="shared" si="33"/>
        <v>4.63</v>
      </c>
      <c r="L126" s="490">
        <f t="shared" si="34"/>
        <v>0.9</v>
      </c>
      <c r="M126" s="554">
        <f t="shared" si="35"/>
        <v>10</v>
      </c>
      <c r="N126" s="555">
        <v>70.0</v>
      </c>
      <c r="O126" s="12">
        <v>1.0</v>
      </c>
      <c r="P126" s="12">
        <v>25.0</v>
      </c>
      <c r="Q126" s="12">
        <v>5.0</v>
      </c>
      <c r="R126" s="12">
        <v>6.0</v>
      </c>
      <c r="S126" s="12">
        <v>7.0</v>
      </c>
      <c r="T126" s="12">
        <v>6.0</v>
      </c>
      <c r="U126" s="12">
        <v>70.0</v>
      </c>
      <c r="V126" s="12">
        <v>52.0</v>
      </c>
      <c r="W126" s="12">
        <v>38.0</v>
      </c>
      <c r="X126" s="12">
        <v>36.0</v>
      </c>
      <c r="Y126" s="12">
        <v>84.0</v>
      </c>
      <c r="Z126" s="12">
        <v>7.0</v>
      </c>
      <c r="AA126" s="12">
        <v>19.0</v>
      </c>
      <c r="AB126" s="12" t="s">
        <v>35</v>
      </c>
    </row>
    <row r="127">
      <c r="A127" s="14"/>
      <c r="B127" s="15" t="s">
        <v>105</v>
      </c>
      <c r="C127" s="12" t="s">
        <v>106</v>
      </c>
      <c r="D127" s="556">
        <f t="shared" si="29"/>
        <v>4.36</v>
      </c>
      <c r="E127" s="39">
        <v>3.71</v>
      </c>
      <c r="F127" s="432">
        <f t="shared" si="30"/>
        <v>0.65</v>
      </c>
      <c r="G127" s="28">
        <f t="shared" si="31"/>
        <v>4.9</v>
      </c>
      <c r="H127" s="395">
        <v>1.28</v>
      </c>
      <c r="I127" s="429">
        <v>7.01</v>
      </c>
      <c r="J127" s="291">
        <f t="shared" si="32"/>
        <v>2.94</v>
      </c>
      <c r="K127" s="433">
        <f t="shared" si="33"/>
        <v>2.38</v>
      </c>
      <c r="L127" s="270">
        <f t="shared" si="34"/>
        <v>1.06</v>
      </c>
      <c r="M127" s="557">
        <f t="shared" si="35"/>
        <v>11.59</v>
      </c>
      <c r="N127" s="558">
        <v>68.0</v>
      </c>
      <c r="O127" s="12">
        <v>3.0</v>
      </c>
      <c r="P127" s="12">
        <v>15.0</v>
      </c>
      <c r="Q127" s="12">
        <v>9.0</v>
      </c>
      <c r="R127" s="12">
        <v>6.0</v>
      </c>
      <c r="S127" s="12">
        <v>6.0</v>
      </c>
      <c r="T127" s="12">
        <v>0.0</v>
      </c>
      <c r="U127" s="12">
        <v>69.0</v>
      </c>
      <c r="V127" s="12">
        <v>37.0</v>
      </c>
      <c r="W127" s="12">
        <v>28.0</v>
      </c>
      <c r="X127" s="12">
        <v>18.0</v>
      </c>
      <c r="Y127" s="12">
        <v>53.0</v>
      </c>
      <c r="Z127" s="12">
        <v>8.0</v>
      </c>
      <c r="AA127" s="12">
        <v>9.0</v>
      </c>
      <c r="AB127" s="12" t="s">
        <v>35</v>
      </c>
    </row>
    <row r="128">
      <c r="A128" s="14"/>
      <c r="B128" s="15" t="s">
        <v>111</v>
      </c>
      <c r="C128" s="12" t="s">
        <v>112</v>
      </c>
      <c r="D128" s="559">
        <f t="shared" si="29"/>
        <v>4</v>
      </c>
      <c r="E128" s="177">
        <v>4.72</v>
      </c>
      <c r="F128" s="477">
        <f t="shared" si="30"/>
        <v>-0.72</v>
      </c>
      <c r="G128" s="45">
        <f t="shared" si="31"/>
        <v>5.85</v>
      </c>
      <c r="H128" s="478">
        <v>1.42</v>
      </c>
      <c r="I128" s="479">
        <v>6.21</v>
      </c>
      <c r="J128" s="321">
        <f t="shared" si="32"/>
        <v>2</v>
      </c>
      <c r="K128" s="340">
        <f t="shared" si="33"/>
        <v>3.13</v>
      </c>
      <c r="L128" s="18">
        <f t="shared" si="34"/>
        <v>0.54</v>
      </c>
      <c r="M128" s="560">
        <f t="shared" si="35"/>
        <v>5.56</v>
      </c>
      <c r="N128" s="561">
        <v>66.2</v>
      </c>
      <c r="O128" s="12">
        <v>0.0</v>
      </c>
      <c r="P128" s="12">
        <v>28.0</v>
      </c>
      <c r="Q128" s="12">
        <v>2.0</v>
      </c>
      <c r="R128" s="12">
        <v>7.0</v>
      </c>
      <c r="S128" s="12">
        <v>2.0</v>
      </c>
      <c r="T128" s="12">
        <v>1.0</v>
      </c>
      <c r="U128" s="12">
        <v>72.0</v>
      </c>
      <c r="V128" s="12">
        <v>43.0</v>
      </c>
      <c r="W128" s="12">
        <v>35.0</v>
      </c>
      <c r="X128" s="12">
        <v>23.0</v>
      </c>
      <c r="Y128" s="12">
        <v>46.0</v>
      </c>
      <c r="Z128" s="12">
        <v>4.0</v>
      </c>
      <c r="AA128" s="12">
        <v>8.0</v>
      </c>
      <c r="AB128" s="12" t="s">
        <v>35</v>
      </c>
    </row>
    <row r="129">
      <c r="A129" s="14"/>
      <c r="B129" s="15" t="s">
        <v>95</v>
      </c>
      <c r="C129" s="12" t="s">
        <v>96</v>
      </c>
      <c r="D129" s="562">
        <f t="shared" si="29"/>
        <v>4.27</v>
      </c>
      <c r="E129" s="563">
        <v>6.88</v>
      </c>
      <c r="F129" s="564">
        <f t="shared" si="30"/>
        <v>-2.61</v>
      </c>
      <c r="G129" s="310">
        <f t="shared" si="31"/>
        <v>8.02</v>
      </c>
      <c r="H129" s="311">
        <v>1.5</v>
      </c>
      <c r="I129" s="312">
        <v>8.23</v>
      </c>
      <c r="J129" s="313">
        <f t="shared" si="32"/>
        <v>2.77</v>
      </c>
      <c r="K129" s="314">
        <f t="shared" si="33"/>
        <v>2.99</v>
      </c>
      <c r="L129" s="315">
        <f t="shared" si="34"/>
        <v>0.95</v>
      </c>
      <c r="M129" s="565">
        <f t="shared" si="35"/>
        <v>8.97</v>
      </c>
      <c r="N129" s="561">
        <v>66.2</v>
      </c>
      <c r="O129" s="12">
        <v>2.0</v>
      </c>
      <c r="P129" s="12">
        <v>16.0</v>
      </c>
      <c r="Q129" s="12">
        <v>10.0</v>
      </c>
      <c r="R129" s="12">
        <v>4.0</v>
      </c>
      <c r="S129" s="12">
        <v>3.0</v>
      </c>
      <c r="T129" s="12">
        <v>0.0</v>
      </c>
      <c r="U129" s="12">
        <v>78.0</v>
      </c>
      <c r="V129" s="12">
        <v>59.0</v>
      </c>
      <c r="W129" s="12">
        <v>51.0</v>
      </c>
      <c r="X129" s="12">
        <v>22.0</v>
      </c>
      <c r="Y129" s="12">
        <v>61.0</v>
      </c>
      <c r="Z129" s="12">
        <v>7.0</v>
      </c>
      <c r="AA129" s="12">
        <v>12.0</v>
      </c>
      <c r="AB129" s="12" t="s">
        <v>35</v>
      </c>
    </row>
    <row r="130">
      <c r="A130" s="14"/>
      <c r="B130" s="15" t="s">
        <v>73</v>
      </c>
      <c r="C130" s="439" t="s">
        <v>74</v>
      </c>
      <c r="D130" s="209">
        <f t="shared" si="29"/>
        <v>3.58</v>
      </c>
      <c r="E130" s="396">
        <v>3.95</v>
      </c>
      <c r="F130" s="442">
        <f t="shared" si="30"/>
        <v>-0.37</v>
      </c>
      <c r="G130" s="202">
        <f t="shared" si="31"/>
        <v>5.32</v>
      </c>
      <c r="H130" s="443">
        <v>1.62</v>
      </c>
      <c r="I130" s="211">
        <v>7.77</v>
      </c>
      <c r="J130" s="444">
        <f t="shared" si="32"/>
        <v>1.36</v>
      </c>
      <c r="K130" s="445">
        <f t="shared" si="33"/>
        <v>5.73</v>
      </c>
      <c r="L130" s="446">
        <f t="shared" si="34"/>
        <v>0.14</v>
      </c>
      <c r="M130" s="566">
        <f t="shared" si="35"/>
        <v>1.54</v>
      </c>
      <c r="N130" s="567">
        <v>66.0</v>
      </c>
      <c r="O130" s="12">
        <v>1.0</v>
      </c>
      <c r="P130" s="12">
        <v>18.0</v>
      </c>
      <c r="Q130" s="12">
        <v>6.0</v>
      </c>
      <c r="R130" s="12">
        <v>6.0</v>
      </c>
      <c r="S130" s="12">
        <v>4.0</v>
      </c>
      <c r="T130" s="12">
        <v>1.0</v>
      </c>
      <c r="U130" s="12">
        <v>65.0</v>
      </c>
      <c r="V130" s="12">
        <v>39.0</v>
      </c>
      <c r="W130" s="12">
        <v>29.0</v>
      </c>
      <c r="X130" s="12">
        <v>42.0</v>
      </c>
      <c r="Y130" s="12">
        <v>57.0</v>
      </c>
      <c r="Z130" s="12">
        <v>1.0</v>
      </c>
      <c r="AA130" s="12">
        <v>0.0</v>
      </c>
      <c r="AB130" s="12" t="s">
        <v>35</v>
      </c>
    </row>
    <row r="131">
      <c r="A131" s="14"/>
      <c r="B131" s="15" t="s">
        <v>52</v>
      </c>
      <c r="C131" s="12" t="s">
        <v>53</v>
      </c>
      <c r="D131" s="107">
        <f t="shared" si="29"/>
        <v>3.95</v>
      </c>
      <c r="E131" s="107">
        <v>5.2</v>
      </c>
      <c r="F131" s="108">
        <f t="shared" si="30"/>
        <v>-1.25</v>
      </c>
      <c r="G131" s="109">
        <f t="shared" si="31"/>
        <v>5.91</v>
      </c>
      <c r="H131" s="110">
        <v>1.64</v>
      </c>
      <c r="I131" s="111">
        <v>13.22</v>
      </c>
      <c r="J131" s="112">
        <f t="shared" si="32"/>
        <v>1.77</v>
      </c>
      <c r="K131" s="113">
        <f t="shared" si="33"/>
        <v>7.45</v>
      </c>
      <c r="L131" s="114">
        <f t="shared" si="34"/>
        <v>0.7</v>
      </c>
      <c r="M131" s="568">
        <f t="shared" si="35"/>
        <v>9.62</v>
      </c>
      <c r="N131" s="569">
        <v>64.0</v>
      </c>
      <c r="O131" s="12">
        <v>0.0</v>
      </c>
      <c r="P131" s="12">
        <v>14.0</v>
      </c>
      <c r="Q131" s="12">
        <v>14.0</v>
      </c>
      <c r="R131" s="12">
        <v>6.0</v>
      </c>
      <c r="S131" s="12">
        <v>2.0</v>
      </c>
      <c r="T131" s="12">
        <v>0.0</v>
      </c>
      <c r="U131" s="12">
        <v>52.0</v>
      </c>
      <c r="V131" s="12">
        <v>42.0</v>
      </c>
      <c r="W131" s="12">
        <v>37.0</v>
      </c>
      <c r="X131" s="12">
        <v>53.0</v>
      </c>
      <c r="Y131" s="12">
        <v>94.0</v>
      </c>
      <c r="Z131" s="12">
        <v>5.0</v>
      </c>
      <c r="AA131" s="12">
        <v>4.0</v>
      </c>
      <c r="AB131" s="12" t="s">
        <v>35</v>
      </c>
    </row>
    <row r="132">
      <c r="A132" s="14"/>
      <c r="B132" s="15" t="s">
        <v>69</v>
      </c>
      <c r="C132" s="12" t="s">
        <v>70</v>
      </c>
      <c r="D132" s="44">
        <f t="shared" si="29"/>
        <v>3.51</v>
      </c>
      <c r="E132" s="504">
        <v>5.48</v>
      </c>
      <c r="F132" s="570">
        <f t="shared" si="30"/>
        <v>-1.97</v>
      </c>
      <c r="G132" s="345">
        <f t="shared" si="31"/>
        <v>6.61</v>
      </c>
      <c r="H132" s="346">
        <v>1.47</v>
      </c>
      <c r="I132" s="215">
        <v>9.28</v>
      </c>
      <c r="J132" s="192">
        <f t="shared" si="32"/>
        <v>3.47</v>
      </c>
      <c r="K132" s="259">
        <f t="shared" si="33"/>
        <v>2.67</v>
      </c>
      <c r="L132" s="114">
        <f t="shared" si="34"/>
        <v>0.7</v>
      </c>
      <c r="M132" s="571">
        <f t="shared" si="35"/>
        <v>6.67</v>
      </c>
      <c r="N132" s="569">
        <v>64.0</v>
      </c>
      <c r="O132" s="12">
        <v>2.0</v>
      </c>
      <c r="P132" s="12">
        <v>16.0</v>
      </c>
      <c r="Q132" s="12">
        <v>6.0</v>
      </c>
      <c r="R132" s="12">
        <v>4.0</v>
      </c>
      <c r="S132" s="12">
        <v>5.0</v>
      </c>
      <c r="T132" s="12">
        <v>2.0</v>
      </c>
      <c r="U132" s="12">
        <v>75.0</v>
      </c>
      <c r="V132" s="12">
        <v>47.0</v>
      </c>
      <c r="W132" s="12">
        <v>39.0</v>
      </c>
      <c r="X132" s="12">
        <v>19.0</v>
      </c>
      <c r="Y132" s="12">
        <v>66.0</v>
      </c>
      <c r="Z132" s="12">
        <v>5.0</v>
      </c>
      <c r="AA132" s="12">
        <v>10.0</v>
      </c>
      <c r="AB132" s="12" t="s">
        <v>35</v>
      </c>
    </row>
    <row r="133">
      <c r="A133" s="14"/>
      <c r="B133" s="15" t="s">
        <v>79</v>
      </c>
      <c r="C133" s="12" t="s">
        <v>80</v>
      </c>
      <c r="D133" s="339">
        <f t="shared" si="29"/>
        <v>3.75</v>
      </c>
      <c r="E133" s="86">
        <v>5.37</v>
      </c>
      <c r="F133" s="572">
        <f t="shared" si="30"/>
        <v>-1.62</v>
      </c>
      <c r="G133" s="164">
        <f t="shared" si="31"/>
        <v>7.26</v>
      </c>
      <c r="H133" s="364">
        <v>1.49</v>
      </c>
      <c r="I133" s="365">
        <v>11.03</v>
      </c>
      <c r="J133" s="183">
        <f t="shared" si="32"/>
        <v>2.23</v>
      </c>
      <c r="K133" s="366">
        <f t="shared" si="33"/>
        <v>4.98</v>
      </c>
      <c r="L133" s="183">
        <f t="shared" si="34"/>
        <v>0.71</v>
      </c>
      <c r="M133" s="534">
        <f t="shared" si="35"/>
        <v>8.33</v>
      </c>
      <c r="N133" s="573">
        <v>63.2</v>
      </c>
      <c r="O133" s="12">
        <v>4.0</v>
      </c>
      <c r="P133" s="12">
        <v>13.0</v>
      </c>
      <c r="Q133" s="12">
        <v>13.0</v>
      </c>
      <c r="R133" s="12">
        <v>6.0</v>
      </c>
      <c r="S133" s="12">
        <v>2.0</v>
      </c>
      <c r="T133" s="12">
        <v>0.0</v>
      </c>
      <c r="U133" s="12">
        <v>60.0</v>
      </c>
      <c r="V133" s="12">
        <v>51.0</v>
      </c>
      <c r="W133" s="12">
        <v>38.0</v>
      </c>
      <c r="X133" s="12">
        <v>35.0</v>
      </c>
      <c r="Y133" s="12">
        <v>78.0</v>
      </c>
      <c r="Z133" s="12">
        <v>5.0</v>
      </c>
      <c r="AA133" s="12">
        <v>7.0</v>
      </c>
      <c r="AB133" s="12" t="s">
        <v>35</v>
      </c>
    </row>
    <row r="134">
      <c r="A134" s="14"/>
      <c r="B134" s="15" t="s">
        <v>89</v>
      </c>
      <c r="C134" s="12" t="s">
        <v>90</v>
      </c>
      <c r="D134" s="574">
        <f t="shared" si="29"/>
        <v>4.06</v>
      </c>
      <c r="E134" s="113">
        <v>7.14</v>
      </c>
      <c r="F134" s="575">
        <f t="shared" si="30"/>
        <v>-3.08</v>
      </c>
      <c r="G134" s="113">
        <f t="shared" si="31"/>
        <v>8.86</v>
      </c>
      <c r="H134" s="290">
        <v>1.73</v>
      </c>
      <c r="I134" s="291">
        <v>9.71</v>
      </c>
      <c r="J134" s="292">
        <f t="shared" si="32"/>
        <v>2.27</v>
      </c>
      <c r="K134" s="293">
        <f t="shared" si="33"/>
        <v>4.29</v>
      </c>
      <c r="L134" s="194">
        <f t="shared" si="34"/>
        <v>0.57</v>
      </c>
      <c r="M134" s="576">
        <f t="shared" si="35"/>
        <v>5.06</v>
      </c>
      <c r="N134" s="577">
        <v>63.0</v>
      </c>
      <c r="O134" s="12">
        <v>1.0</v>
      </c>
      <c r="P134" s="12">
        <v>17.0</v>
      </c>
      <c r="Q134" s="12">
        <v>4.0</v>
      </c>
      <c r="R134" s="12">
        <v>7.0</v>
      </c>
      <c r="S134" s="12">
        <v>4.0</v>
      </c>
      <c r="T134" s="12">
        <v>0.0</v>
      </c>
      <c r="U134" s="12">
        <v>79.0</v>
      </c>
      <c r="V134" s="12">
        <v>62.0</v>
      </c>
      <c r="W134" s="12">
        <v>50.0</v>
      </c>
      <c r="X134" s="12">
        <v>30.0</v>
      </c>
      <c r="Y134" s="12">
        <v>68.0</v>
      </c>
      <c r="Z134" s="12">
        <v>4.0</v>
      </c>
      <c r="AA134" s="12">
        <v>16.0</v>
      </c>
      <c r="AB134" s="12" t="s">
        <v>35</v>
      </c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121" t="s">
        <v>122</v>
      </c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122"/>
      <c r="B138" s="123" t="s">
        <v>6</v>
      </c>
      <c r="C138" s="123" t="s">
        <v>7</v>
      </c>
      <c r="D138" s="126" t="s">
        <v>8</v>
      </c>
      <c r="E138" s="126" t="s">
        <v>9</v>
      </c>
      <c r="F138" s="126" t="s">
        <v>10</v>
      </c>
      <c r="G138" s="397" t="s">
        <v>11</v>
      </c>
      <c r="H138" s="125" t="s">
        <v>12</v>
      </c>
      <c r="I138" s="126" t="s">
        <v>13</v>
      </c>
      <c r="J138" s="126" t="s">
        <v>14</v>
      </c>
      <c r="K138" s="126" t="s">
        <v>15</v>
      </c>
      <c r="L138" s="126" t="s">
        <v>16</v>
      </c>
      <c r="M138" s="126" t="s">
        <v>17</v>
      </c>
      <c r="N138" s="126" t="s">
        <v>18</v>
      </c>
      <c r="O138" s="126" t="s">
        <v>19</v>
      </c>
      <c r="P138" s="126" t="s">
        <v>20</v>
      </c>
      <c r="Q138" s="126" t="s">
        <v>21</v>
      </c>
      <c r="R138" s="126" t="s">
        <v>22</v>
      </c>
      <c r="S138" s="126" t="s">
        <v>23</v>
      </c>
      <c r="T138" s="126" t="s">
        <v>24</v>
      </c>
      <c r="U138" s="126" t="s">
        <v>25</v>
      </c>
      <c r="V138" s="126" t="s">
        <v>26</v>
      </c>
      <c r="W138" s="126" t="s">
        <v>27</v>
      </c>
      <c r="X138" s="126" t="s">
        <v>28</v>
      </c>
      <c r="Y138" s="126" t="s">
        <v>29</v>
      </c>
      <c r="Z138" s="126" t="s">
        <v>30</v>
      </c>
      <c r="AA138" s="126" t="s">
        <v>31</v>
      </c>
      <c r="AB138" s="126" t="s">
        <v>32</v>
      </c>
    </row>
    <row r="139">
      <c r="A139" s="398"/>
      <c r="B139" s="128" t="s">
        <v>36</v>
      </c>
      <c r="C139" s="123" t="s">
        <v>37</v>
      </c>
      <c r="D139" s="132">
        <f t="shared" ref="D139:D151" si="36">ROUND(3.2 + (13*(Z:Z) + 3*((X:X) +(AA:AA)) - 2*(Y:Y))/(N:N), 2)</f>
        <v>2.79</v>
      </c>
      <c r="E139" s="578">
        <v>3.91</v>
      </c>
      <c r="F139" s="579">
        <f t="shared" ref="F139:F151" si="37">ROUND((D:D)-(E:E), 2)</f>
        <v>-1.12</v>
      </c>
      <c r="G139" s="580">
        <f t="shared" ref="G139:G151" si="38">ROUND(9*((V:V)/(N:N)), 2)</f>
        <v>5.19</v>
      </c>
      <c r="H139" s="581">
        <v>1.11</v>
      </c>
      <c r="I139" s="582">
        <v>10.69</v>
      </c>
      <c r="J139" s="583">
        <f t="shared" ref="J139:J151" si="39">ROUND((Y:Y)/(X:X), 2)</f>
        <v>3.88</v>
      </c>
      <c r="K139" s="584">
        <f t="shared" ref="K139:K151" si="40">ROUND(9*((X:X)/(N:N)), 2)</f>
        <v>2.77</v>
      </c>
      <c r="L139" s="585">
        <f t="shared" ref="L139:L151" si="41">ROUND(9*((Z:Z)/(N:N)), 2)</f>
        <v>0.46</v>
      </c>
      <c r="M139" s="131">
        <f t="shared" ref="M139:M151" si="42">ROUND(100*(Z:Z)/(U:U), 2)</f>
        <v>6.35</v>
      </c>
      <c r="N139" s="586">
        <v>78.1</v>
      </c>
      <c r="O139" s="123">
        <v>0.0</v>
      </c>
      <c r="P139" s="123">
        <v>18.0</v>
      </c>
      <c r="Q139" s="123">
        <v>16.0</v>
      </c>
      <c r="R139" s="123">
        <v>11.0</v>
      </c>
      <c r="S139" s="123">
        <v>4.0</v>
      </c>
      <c r="T139" s="123">
        <v>0.0</v>
      </c>
      <c r="U139" s="123">
        <v>63.0</v>
      </c>
      <c r="V139" s="123">
        <v>45.0</v>
      </c>
      <c r="W139" s="123">
        <v>34.0</v>
      </c>
      <c r="X139" s="123">
        <v>24.0</v>
      </c>
      <c r="Y139" s="123">
        <v>93.0</v>
      </c>
      <c r="Z139" s="123">
        <v>4.0</v>
      </c>
      <c r="AA139" s="123">
        <v>10.0</v>
      </c>
      <c r="AB139" s="123" t="s">
        <v>35</v>
      </c>
    </row>
    <row r="140">
      <c r="A140" s="14"/>
      <c r="B140" s="15" t="s">
        <v>40</v>
      </c>
      <c r="C140" s="12" t="s">
        <v>41</v>
      </c>
      <c r="D140" s="203">
        <f t="shared" si="36"/>
        <v>2.82</v>
      </c>
      <c r="E140" s="42">
        <v>3.01</v>
      </c>
      <c r="F140" s="413">
        <f t="shared" si="37"/>
        <v>-0.19</v>
      </c>
      <c r="G140" s="587">
        <f t="shared" si="38"/>
        <v>3.41</v>
      </c>
      <c r="H140" s="588">
        <v>1.12</v>
      </c>
      <c r="I140" s="54">
        <v>8.92</v>
      </c>
      <c r="J140" s="55">
        <f t="shared" si="39"/>
        <v>4.44</v>
      </c>
      <c r="K140" s="416">
        <f t="shared" si="40"/>
        <v>2.02</v>
      </c>
      <c r="L140" s="417">
        <f t="shared" si="41"/>
        <v>0.51</v>
      </c>
      <c r="M140" s="418">
        <f t="shared" si="42"/>
        <v>6.25</v>
      </c>
      <c r="N140" s="419">
        <v>71.2</v>
      </c>
      <c r="O140" s="12">
        <v>3.0</v>
      </c>
      <c r="P140" s="12">
        <v>14.0</v>
      </c>
      <c r="Q140" s="12">
        <v>14.0</v>
      </c>
      <c r="R140" s="12">
        <v>9.0</v>
      </c>
      <c r="S140" s="12">
        <v>1.0</v>
      </c>
      <c r="T140" s="12">
        <v>0.0</v>
      </c>
      <c r="U140" s="12">
        <v>64.0</v>
      </c>
      <c r="V140" s="12">
        <v>27.0</v>
      </c>
      <c r="W140" s="12">
        <v>24.0</v>
      </c>
      <c r="X140" s="12">
        <v>16.0</v>
      </c>
      <c r="Y140" s="12">
        <v>71.0</v>
      </c>
      <c r="Z140" s="12">
        <v>4.0</v>
      </c>
      <c r="AA140" s="12">
        <v>5.0</v>
      </c>
      <c r="AB140" s="12" t="s">
        <v>35</v>
      </c>
    </row>
    <row r="141">
      <c r="A141" s="14"/>
      <c r="B141" s="15" t="s">
        <v>33</v>
      </c>
      <c r="C141" s="12" t="s">
        <v>34</v>
      </c>
      <c r="D141" s="536">
        <f t="shared" si="36"/>
        <v>2.31</v>
      </c>
      <c r="E141" s="537">
        <v>3.33</v>
      </c>
      <c r="F141" s="422">
        <f t="shared" si="37"/>
        <v>-1.02</v>
      </c>
      <c r="G141" s="589">
        <f t="shared" si="38"/>
        <v>4.19</v>
      </c>
      <c r="H141" s="590">
        <v>1.19</v>
      </c>
      <c r="I141" s="21">
        <v>10.94</v>
      </c>
      <c r="J141" s="22">
        <f t="shared" si="39"/>
        <v>4.84</v>
      </c>
      <c r="K141" s="424">
        <f t="shared" si="40"/>
        <v>2.27</v>
      </c>
      <c r="L141" s="239">
        <f t="shared" si="41"/>
        <v>0.36</v>
      </c>
      <c r="M141" s="239">
        <f t="shared" si="42"/>
        <v>4.23</v>
      </c>
      <c r="N141" s="26">
        <v>75.2</v>
      </c>
      <c r="O141" s="12">
        <v>1.0</v>
      </c>
      <c r="P141" s="12">
        <v>14.0</v>
      </c>
      <c r="Q141" s="12">
        <v>13.0</v>
      </c>
      <c r="R141" s="12">
        <v>7.0</v>
      </c>
      <c r="S141" s="12">
        <v>1.0</v>
      </c>
      <c r="T141" s="12">
        <v>0.0</v>
      </c>
      <c r="U141" s="12">
        <v>71.0</v>
      </c>
      <c r="V141" s="12">
        <v>35.0</v>
      </c>
      <c r="W141" s="12">
        <v>28.0</v>
      </c>
      <c r="X141" s="12">
        <v>19.0</v>
      </c>
      <c r="Y141" s="12">
        <v>92.0</v>
      </c>
      <c r="Z141" s="12">
        <v>3.0</v>
      </c>
      <c r="AA141" s="12">
        <v>7.0</v>
      </c>
      <c r="AB141" s="12" t="s">
        <v>35</v>
      </c>
    </row>
    <row r="142">
      <c r="A142" s="14"/>
      <c r="B142" s="15" t="s">
        <v>44</v>
      </c>
      <c r="C142" s="12" t="s">
        <v>45</v>
      </c>
      <c r="D142" s="395">
        <f t="shared" si="36"/>
        <v>3</v>
      </c>
      <c r="E142" s="104">
        <v>3.97</v>
      </c>
      <c r="F142" s="451">
        <f t="shared" si="37"/>
        <v>-0.97</v>
      </c>
      <c r="G142" s="591">
        <f t="shared" si="38"/>
        <v>4.32</v>
      </c>
      <c r="H142" s="592">
        <v>1.21</v>
      </c>
      <c r="I142" s="72">
        <v>8.17</v>
      </c>
      <c r="J142" s="73">
        <f t="shared" si="39"/>
        <v>2.67</v>
      </c>
      <c r="K142" s="101">
        <f t="shared" si="40"/>
        <v>3.07</v>
      </c>
      <c r="L142" s="453">
        <f t="shared" si="41"/>
        <v>0.23</v>
      </c>
      <c r="M142" s="454">
        <f t="shared" si="42"/>
        <v>2.9</v>
      </c>
      <c r="N142" s="455">
        <v>79.1</v>
      </c>
      <c r="O142" s="12">
        <v>6.0</v>
      </c>
      <c r="P142" s="12">
        <v>15.0</v>
      </c>
      <c r="Q142" s="12">
        <v>12.0</v>
      </c>
      <c r="R142" s="12">
        <v>7.0</v>
      </c>
      <c r="S142" s="12">
        <v>0.0</v>
      </c>
      <c r="T142" s="12">
        <v>0.0</v>
      </c>
      <c r="U142" s="78">
        <v>69.0</v>
      </c>
      <c r="V142" s="78">
        <v>38.0</v>
      </c>
      <c r="W142" s="78">
        <v>35.0</v>
      </c>
      <c r="X142" s="78">
        <v>27.0</v>
      </c>
      <c r="Y142" s="78">
        <v>72.0</v>
      </c>
      <c r="Z142" s="12">
        <v>2.0</v>
      </c>
      <c r="AA142" s="12">
        <v>7.0</v>
      </c>
      <c r="AB142" s="12" t="s">
        <v>35</v>
      </c>
    </row>
    <row r="143">
      <c r="A143" s="14"/>
      <c r="B143" s="15" t="s">
        <v>75</v>
      </c>
      <c r="C143" s="12" t="s">
        <v>68</v>
      </c>
      <c r="D143" s="202">
        <f t="shared" si="36"/>
        <v>3.61</v>
      </c>
      <c r="E143" s="542">
        <v>2.64</v>
      </c>
      <c r="F143" s="543">
        <f t="shared" si="37"/>
        <v>0.97</v>
      </c>
      <c r="G143" s="593">
        <f t="shared" si="38"/>
        <v>3.6</v>
      </c>
      <c r="H143" s="592">
        <v>1.21</v>
      </c>
      <c r="I143" s="219">
        <v>4.8</v>
      </c>
      <c r="J143" s="220">
        <f t="shared" si="39"/>
        <v>1.67</v>
      </c>
      <c r="K143" s="68">
        <f t="shared" si="40"/>
        <v>2.88</v>
      </c>
      <c r="L143" s="239">
        <f t="shared" si="41"/>
        <v>0.36</v>
      </c>
      <c r="M143" s="594">
        <f t="shared" si="42"/>
        <v>4.48</v>
      </c>
      <c r="N143" s="595">
        <v>75.0</v>
      </c>
      <c r="O143" s="222">
        <v>6.0</v>
      </c>
      <c r="P143" s="12">
        <v>13.0</v>
      </c>
      <c r="Q143" s="12">
        <v>12.0</v>
      </c>
      <c r="R143" s="12">
        <v>7.0</v>
      </c>
      <c r="S143" s="12">
        <v>3.0</v>
      </c>
      <c r="T143" s="12">
        <v>0.0</v>
      </c>
      <c r="U143" s="12">
        <v>67.0</v>
      </c>
      <c r="V143" s="12">
        <v>30.0</v>
      </c>
      <c r="W143" s="12">
        <v>22.0</v>
      </c>
      <c r="X143" s="12">
        <v>24.0</v>
      </c>
      <c r="Y143" s="12">
        <v>40.0</v>
      </c>
      <c r="Z143" s="12">
        <v>3.0</v>
      </c>
      <c r="AA143" s="12">
        <v>0.0</v>
      </c>
      <c r="AB143" s="12" t="s">
        <v>35</v>
      </c>
    </row>
    <row r="144">
      <c r="A144" s="14"/>
      <c r="B144" s="15" t="s">
        <v>38</v>
      </c>
      <c r="C144" s="12" t="s">
        <v>39</v>
      </c>
      <c r="D144" s="38">
        <f t="shared" si="36"/>
        <v>3.08</v>
      </c>
      <c r="E144" s="39">
        <v>3.72</v>
      </c>
      <c r="F144" s="40">
        <f t="shared" si="37"/>
        <v>-0.64</v>
      </c>
      <c r="G144" s="596">
        <f t="shared" si="38"/>
        <v>4.67</v>
      </c>
      <c r="H144" s="412">
        <v>1.23</v>
      </c>
      <c r="I144" s="43">
        <v>12.69</v>
      </c>
      <c r="J144" s="44">
        <f t="shared" si="39"/>
        <v>3.11</v>
      </c>
      <c r="K144" s="45">
        <f t="shared" si="40"/>
        <v>4.09</v>
      </c>
      <c r="L144" s="46">
        <f t="shared" si="41"/>
        <v>0.58</v>
      </c>
      <c r="M144" s="47">
        <f t="shared" si="42"/>
        <v>8.33</v>
      </c>
      <c r="N144" s="48">
        <v>77.1</v>
      </c>
      <c r="O144" s="12">
        <v>5.0</v>
      </c>
      <c r="P144" s="12">
        <v>14.0</v>
      </c>
      <c r="Q144" s="12">
        <v>14.0</v>
      </c>
      <c r="R144" s="12">
        <v>11.0</v>
      </c>
      <c r="S144" s="12">
        <v>1.0</v>
      </c>
      <c r="T144" s="12">
        <v>0.0</v>
      </c>
      <c r="U144" s="12">
        <v>60.0</v>
      </c>
      <c r="V144" s="12">
        <v>40.0</v>
      </c>
      <c r="W144" s="12">
        <v>32.0</v>
      </c>
      <c r="X144" s="12">
        <v>35.0</v>
      </c>
      <c r="Y144" s="12">
        <v>109.0</v>
      </c>
      <c r="Z144" s="12">
        <v>5.0</v>
      </c>
      <c r="AA144" s="12">
        <v>13.0</v>
      </c>
      <c r="AB144" s="12" t="s">
        <v>35</v>
      </c>
    </row>
    <row r="145">
      <c r="A145" s="14"/>
      <c r="B145" s="15" t="s">
        <v>107</v>
      </c>
      <c r="C145" s="12" t="s">
        <v>108</v>
      </c>
      <c r="D145" s="497">
        <f t="shared" si="36"/>
        <v>4.19</v>
      </c>
      <c r="E145" s="549">
        <v>4.44</v>
      </c>
      <c r="F145" s="460">
        <f t="shared" si="37"/>
        <v>-0.25</v>
      </c>
      <c r="G145" s="597">
        <f t="shared" si="38"/>
        <v>6.78</v>
      </c>
      <c r="H145" s="598">
        <v>1.27</v>
      </c>
      <c r="I145" s="463">
        <v>7.52</v>
      </c>
      <c r="J145" s="464">
        <f t="shared" si="39"/>
        <v>2.44</v>
      </c>
      <c r="K145" s="174">
        <f t="shared" si="40"/>
        <v>3.08</v>
      </c>
      <c r="L145" s="105">
        <f t="shared" si="41"/>
        <v>0.62</v>
      </c>
      <c r="M145" s="311">
        <f t="shared" si="42"/>
        <v>7.35</v>
      </c>
      <c r="N145" s="465">
        <v>73.0</v>
      </c>
      <c r="O145" s="12">
        <v>5.0</v>
      </c>
      <c r="P145" s="12">
        <v>16.0</v>
      </c>
      <c r="Q145" s="12">
        <v>16.0</v>
      </c>
      <c r="R145" s="12">
        <v>9.0</v>
      </c>
      <c r="S145" s="12">
        <v>3.0</v>
      </c>
      <c r="T145" s="12">
        <v>0.0</v>
      </c>
      <c r="U145" s="12">
        <v>68.0</v>
      </c>
      <c r="V145" s="12">
        <v>55.0</v>
      </c>
      <c r="W145" s="12">
        <v>36.0</v>
      </c>
      <c r="X145" s="12">
        <v>25.0</v>
      </c>
      <c r="Y145" s="12">
        <v>61.0</v>
      </c>
      <c r="Z145" s="12">
        <v>5.0</v>
      </c>
      <c r="AA145" s="12">
        <v>18.0</v>
      </c>
      <c r="AB145" s="12" t="s">
        <v>35</v>
      </c>
    </row>
    <row r="146">
      <c r="A146" s="14"/>
      <c r="B146" s="15" t="s">
        <v>105</v>
      </c>
      <c r="C146" s="12" t="s">
        <v>106</v>
      </c>
      <c r="D146" s="556">
        <f t="shared" si="36"/>
        <v>4.36</v>
      </c>
      <c r="E146" s="39">
        <v>3.71</v>
      </c>
      <c r="F146" s="432">
        <f t="shared" si="37"/>
        <v>0.65</v>
      </c>
      <c r="G146" s="599">
        <f t="shared" si="38"/>
        <v>4.9</v>
      </c>
      <c r="H146" s="600">
        <v>1.28</v>
      </c>
      <c r="I146" s="429">
        <v>7.01</v>
      </c>
      <c r="J146" s="291">
        <f t="shared" si="39"/>
        <v>2.94</v>
      </c>
      <c r="K146" s="433">
        <f t="shared" si="40"/>
        <v>2.38</v>
      </c>
      <c r="L146" s="270">
        <f t="shared" si="41"/>
        <v>1.06</v>
      </c>
      <c r="M146" s="268">
        <f t="shared" si="42"/>
        <v>11.59</v>
      </c>
      <c r="N146" s="434">
        <v>68.0</v>
      </c>
      <c r="O146" s="12">
        <v>3.0</v>
      </c>
      <c r="P146" s="12">
        <v>15.0</v>
      </c>
      <c r="Q146" s="12">
        <v>9.0</v>
      </c>
      <c r="R146" s="12">
        <v>6.0</v>
      </c>
      <c r="S146" s="12">
        <v>6.0</v>
      </c>
      <c r="T146" s="12">
        <v>0.0</v>
      </c>
      <c r="U146" s="12">
        <v>69.0</v>
      </c>
      <c r="V146" s="12">
        <v>37.0</v>
      </c>
      <c r="W146" s="12">
        <v>28.0</v>
      </c>
      <c r="X146" s="12">
        <v>18.0</v>
      </c>
      <c r="Y146" s="12">
        <v>53.0</v>
      </c>
      <c r="Z146" s="12">
        <v>8.0</v>
      </c>
      <c r="AA146" s="12">
        <v>9.0</v>
      </c>
      <c r="AB146" s="12" t="s">
        <v>35</v>
      </c>
    </row>
    <row r="147">
      <c r="A147" s="14"/>
      <c r="B147" s="15" t="s">
        <v>50</v>
      </c>
      <c r="C147" s="12" t="s">
        <v>51</v>
      </c>
      <c r="D147" s="74">
        <f t="shared" si="36"/>
        <v>3.39</v>
      </c>
      <c r="E147" s="99">
        <v>4.17</v>
      </c>
      <c r="F147" s="100">
        <f t="shared" si="37"/>
        <v>-0.78</v>
      </c>
      <c r="G147" s="601">
        <f t="shared" si="38"/>
        <v>4.8</v>
      </c>
      <c r="H147" s="437">
        <v>1.32</v>
      </c>
      <c r="I147" s="103">
        <v>9.87</v>
      </c>
      <c r="J147" s="104">
        <f t="shared" si="39"/>
        <v>3.37</v>
      </c>
      <c r="K147" s="34">
        <f t="shared" si="40"/>
        <v>2.94</v>
      </c>
      <c r="L147" s="105">
        <f t="shared" si="41"/>
        <v>0.62</v>
      </c>
      <c r="M147" s="87">
        <f t="shared" si="42"/>
        <v>6.9</v>
      </c>
      <c r="N147" s="106">
        <v>58.1</v>
      </c>
      <c r="O147" s="12">
        <v>0.0</v>
      </c>
      <c r="P147" s="12">
        <v>14.0</v>
      </c>
      <c r="Q147" s="12">
        <v>12.0</v>
      </c>
      <c r="R147" s="12">
        <v>3.0</v>
      </c>
      <c r="S147" s="12">
        <v>2.0</v>
      </c>
      <c r="T147" s="12">
        <v>1.0</v>
      </c>
      <c r="U147" s="12">
        <v>58.0</v>
      </c>
      <c r="V147" s="12">
        <v>31.0</v>
      </c>
      <c r="W147" s="12">
        <v>27.0</v>
      </c>
      <c r="X147" s="12">
        <v>19.0</v>
      </c>
      <c r="Y147" s="12">
        <v>64.0</v>
      </c>
      <c r="Z147" s="12">
        <v>4.0</v>
      </c>
      <c r="AA147" s="12">
        <v>10.0</v>
      </c>
      <c r="AB147" s="12" t="s">
        <v>35</v>
      </c>
    </row>
    <row r="148">
      <c r="A148" s="14"/>
      <c r="B148" s="15" t="s">
        <v>117</v>
      </c>
      <c r="C148" s="12" t="s">
        <v>118</v>
      </c>
      <c r="D148" s="310">
        <f t="shared" si="36"/>
        <v>4.28</v>
      </c>
      <c r="E148" s="306">
        <v>5.03</v>
      </c>
      <c r="F148" s="500">
        <f t="shared" si="37"/>
        <v>-0.75</v>
      </c>
      <c r="G148" s="466">
        <f t="shared" si="38"/>
        <v>6.22</v>
      </c>
      <c r="H148" s="170">
        <v>1.34</v>
      </c>
      <c r="I148" s="501">
        <v>7.9</v>
      </c>
      <c r="J148" s="502">
        <f t="shared" si="39"/>
        <v>2.29</v>
      </c>
      <c r="K148" s="503">
        <f t="shared" si="40"/>
        <v>3.47</v>
      </c>
      <c r="L148" s="504">
        <f t="shared" si="41"/>
        <v>0.87</v>
      </c>
      <c r="M148" s="491">
        <f t="shared" si="42"/>
        <v>10</v>
      </c>
      <c r="N148" s="505">
        <v>62.2</v>
      </c>
      <c r="O148" s="12">
        <v>1.0</v>
      </c>
      <c r="P148" s="12">
        <v>17.0</v>
      </c>
      <c r="Q148" s="12">
        <v>11.0</v>
      </c>
      <c r="R148" s="12">
        <v>5.0</v>
      </c>
      <c r="S148" s="12">
        <v>5.0</v>
      </c>
      <c r="T148" s="12">
        <v>0.0</v>
      </c>
      <c r="U148" s="12">
        <v>60.0</v>
      </c>
      <c r="V148" s="12">
        <v>43.0</v>
      </c>
      <c r="W148" s="12">
        <v>35.0</v>
      </c>
      <c r="X148" s="12">
        <v>24.0</v>
      </c>
      <c r="Y148" s="12">
        <v>55.0</v>
      </c>
      <c r="Z148" s="12">
        <v>6.0</v>
      </c>
      <c r="AA148" s="12">
        <v>9.0</v>
      </c>
      <c r="AB148" s="12" t="s">
        <v>35</v>
      </c>
    </row>
    <row r="149">
      <c r="A149" s="14"/>
      <c r="B149" s="15" t="s">
        <v>71</v>
      </c>
      <c r="C149" s="12" t="s">
        <v>72</v>
      </c>
      <c r="D149" s="99">
        <f t="shared" si="36"/>
        <v>3.57</v>
      </c>
      <c r="E149" s="197">
        <v>6.96</v>
      </c>
      <c r="F149" s="198">
        <f t="shared" si="37"/>
        <v>-3.39</v>
      </c>
      <c r="G149" s="602">
        <f t="shared" si="38"/>
        <v>7.32</v>
      </c>
      <c r="H149" s="170">
        <v>1.34</v>
      </c>
      <c r="I149" s="200">
        <v>5.47</v>
      </c>
      <c r="J149" s="603">
        <f t="shared" si="39"/>
        <v>1.65</v>
      </c>
      <c r="K149" s="604">
        <f t="shared" si="40"/>
        <v>3.33</v>
      </c>
      <c r="L149" s="605">
        <f t="shared" si="41"/>
        <v>0.33</v>
      </c>
      <c r="M149" s="19">
        <f t="shared" si="42"/>
        <v>3.77</v>
      </c>
      <c r="N149" s="204">
        <v>54.1</v>
      </c>
      <c r="O149" s="12">
        <v>0.0</v>
      </c>
      <c r="P149" s="12">
        <v>23.0</v>
      </c>
      <c r="Q149" s="12">
        <v>0.0</v>
      </c>
      <c r="R149" s="12">
        <v>4.0</v>
      </c>
      <c r="S149" s="12">
        <v>4.0</v>
      </c>
      <c r="T149" s="12">
        <v>1.0</v>
      </c>
      <c r="U149" s="12">
        <v>53.0</v>
      </c>
      <c r="V149" s="12">
        <v>44.0</v>
      </c>
      <c r="W149" s="12">
        <v>42.0</v>
      </c>
      <c r="X149" s="12">
        <v>20.0</v>
      </c>
      <c r="Y149" s="12">
        <v>33.0</v>
      </c>
      <c r="Z149" s="12">
        <v>2.0</v>
      </c>
      <c r="AA149" s="606"/>
      <c r="AB149" s="12" t="s">
        <v>35</v>
      </c>
    </row>
    <row r="150">
      <c r="A150" s="14"/>
      <c r="B150" s="15" t="s">
        <v>76</v>
      </c>
      <c r="C150" s="12" t="s">
        <v>34</v>
      </c>
      <c r="D150" s="607">
        <f t="shared" si="36"/>
        <v>3.66</v>
      </c>
      <c r="E150" s="608">
        <v>5.91</v>
      </c>
      <c r="F150" s="225">
        <f t="shared" si="37"/>
        <v>-2.25</v>
      </c>
      <c r="G150" s="609">
        <f t="shared" si="38"/>
        <v>6.9</v>
      </c>
      <c r="H150" s="610">
        <v>1.35</v>
      </c>
      <c r="I150" s="55">
        <v>11.34</v>
      </c>
      <c r="J150" s="314">
        <f t="shared" si="39"/>
        <v>3.94</v>
      </c>
      <c r="K150" s="68">
        <f t="shared" si="40"/>
        <v>2.89</v>
      </c>
      <c r="L150" s="334">
        <f t="shared" si="41"/>
        <v>0.96</v>
      </c>
      <c r="M150" s="61">
        <f t="shared" si="42"/>
        <v>10.34</v>
      </c>
      <c r="N150" s="230">
        <v>56.1</v>
      </c>
      <c r="O150" s="12">
        <v>0.0</v>
      </c>
      <c r="P150" s="12">
        <v>31.0</v>
      </c>
      <c r="Q150" s="12">
        <v>0.0</v>
      </c>
      <c r="R150" s="12">
        <v>6.0</v>
      </c>
      <c r="S150" s="12">
        <v>4.0</v>
      </c>
      <c r="T150" s="222">
        <v>11.0</v>
      </c>
      <c r="U150" s="12">
        <v>58.0</v>
      </c>
      <c r="V150" s="12">
        <v>43.0</v>
      </c>
      <c r="W150" s="12">
        <v>37.0</v>
      </c>
      <c r="X150" s="12">
        <v>18.0</v>
      </c>
      <c r="Y150" s="12">
        <v>71.0</v>
      </c>
      <c r="Z150" s="12">
        <v>6.0</v>
      </c>
      <c r="AA150" s="12">
        <v>12.0</v>
      </c>
      <c r="AB150" s="12" t="s">
        <v>35</v>
      </c>
    </row>
    <row r="151">
      <c r="A151" s="14"/>
      <c r="B151" s="15" t="s">
        <v>109</v>
      </c>
      <c r="C151" s="12" t="s">
        <v>110</v>
      </c>
      <c r="D151" s="298">
        <f t="shared" si="36"/>
        <v>3.89</v>
      </c>
      <c r="E151" s="87">
        <v>4.48</v>
      </c>
      <c r="F151" s="468">
        <f t="shared" si="37"/>
        <v>-0.59</v>
      </c>
      <c r="G151" s="611">
        <f t="shared" si="38"/>
        <v>6.23</v>
      </c>
      <c r="H151" s="612">
        <v>1.36</v>
      </c>
      <c r="I151" s="471">
        <v>7.65</v>
      </c>
      <c r="J151" s="472">
        <f t="shared" si="39"/>
        <v>3.31</v>
      </c>
      <c r="K151" s="473">
        <f t="shared" si="40"/>
        <v>2.32</v>
      </c>
      <c r="L151" s="298">
        <f t="shared" si="41"/>
        <v>0.72</v>
      </c>
      <c r="M151" s="364">
        <f t="shared" si="42"/>
        <v>7.25</v>
      </c>
      <c r="N151" s="474">
        <v>62.1</v>
      </c>
      <c r="O151" s="12">
        <v>0.0</v>
      </c>
      <c r="P151" s="12">
        <v>15.0</v>
      </c>
      <c r="Q151" s="12">
        <v>15.0</v>
      </c>
      <c r="R151" s="12">
        <v>4.0</v>
      </c>
      <c r="S151" s="12">
        <v>4.0</v>
      </c>
      <c r="T151" s="12">
        <v>0.0</v>
      </c>
      <c r="U151" s="12">
        <v>69.0</v>
      </c>
      <c r="V151" s="12">
        <v>43.0</v>
      </c>
      <c r="W151" s="12">
        <v>31.0</v>
      </c>
      <c r="X151" s="12">
        <v>16.0</v>
      </c>
      <c r="Y151" s="12">
        <v>53.0</v>
      </c>
      <c r="Z151" s="12">
        <v>5.0</v>
      </c>
      <c r="AA151" s="12">
        <v>12.0</v>
      </c>
      <c r="AB151" s="12" t="s">
        <v>35</v>
      </c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121" t="s">
        <v>123</v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122"/>
      <c r="B155" s="123" t="s">
        <v>6</v>
      </c>
      <c r="C155" s="123" t="s">
        <v>7</v>
      </c>
      <c r="D155" s="126" t="s">
        <v>8</v>
      </c>
      <c r="E155" s="126" t="s">
        <v>9</v>
      </c>
      <c r="F155" s="126" t="s">
        <v>10</v>
      </c>
      <c r="G155" s="126" t="s">
        <v>11</v>
      </c>
      <c r="H155" s="397" t="s">
        <v>12</v>
      </c>
      <c r="I155" s="125" t="s">
        <v>13</v>
      </c>
      <c r="J155" s="126" t="s">
        <v>14</v>
      </c>
      <c r="K155" s="126" t="s">
        <v>15</v>
      </c>
      <c r="L155" s="397" t="s">
        <v>16</v>
      </c>
      <c r="M155" s="125" t="s">
        <v>17</v>
      </c>
      <c r="N155" s="126" t="s">
        <v>18</v>
      </c>
      <c r="O155" s="126" t="s">
        <v>19</v>
      </c>
      <c r="P155" s="126" t="s">
        <v>20</v>
      </c>
      <c r="Q155" s="126" t="s">
        <v>21</v>
      </c>
      <c r="R155" s="126" t="s">
        <v>22</v>
      </c>
      <c r="S155" s="126" t="s">
        <v>23</v>
      </c>
      <c r="T155" s="126" t="s">
        <v>24</v>
      </c>
      <c r="U155" s="126" t="s">
        <v>25</v>
      </c>
      <c r="V155" s="126" t="s">
        <v>26</v>
      </c>
      <c r="W155" s="126" t="s">
        <v>27</v>
      </c>
      <c r="X155" s="126" t="s">
        <v>28</v>
      </c>
      <c r="Y155" s="126" t="s">
        <v>29</v>
      </c>
      <c r="Z155" s="126" t="s">
        <v>30</v>
      </c>
      <c r="AA155" s="126" t="s">
        <v>31</v>
      </c>
      <c r="AB155" s="126" t="s">
        <v>32</v>
      </c>
    </row>
    <row r="156">
      <c r="A156" s="14"/>
      <c r="B156" s="15" t="s">
        <v>42</v>
      </c>
      <c r="C156" s="12" t="s">
        <v>43</v>
      </c>
      <c r="D156" s="19">
        <f t="shared" ref="D156:D165" si="43">ROUND(3.2 + (13*(Z:Z) + 3*((X:X) +(AA:AA)) - 2*(Y:Y))/(N:N), 2)</f>
        <v>2.71</v>
      </c>
      <c r="E156" s="59">
        <v>5.18</v>
      </c>
      <c r="F156" s="60">
        <f t="shared" ref="F156:F165" si="44">ROUND((D:D)-(E:E), 2)</f>
        <v>-2.47</v>
      </c>
      <c r="G156" s="61">
        <f t="shared" ref="G156:G165" si="45">ROUND(9*((V:V)/(N:N)), 2)</f>
        <v>6.55</v>
      </c>
      <c r="H156" s="613">
        <v>1.53</v>
      </c>
      <c r="I156" s="614">
        <v>7.96</v>
      </c>
      <c r="J156" s="64">
        <f t="shared" ref="J156:J165" si="46">ROUND((Y:Y)/(X:X), 2)</f>
        <v>4.13</v>
      </c>
      <c r="K156" s="65">
        <f t="shared" ref="K156:K165" si="47">ROUND(9*((X:X)/(N:N)), 2)</f>
        <v>1.94</v>
      </c>
      <c r="L156" s="615">
        <f t="shared" ref="L156:L165" si="48">ROUND(9*((Z:Z)/(N:N)), 2)</f>
        <v>0.36</v>
      </c>
      <c r="M156" s="616">
        <f t="shared" ref="M156:M165" si="49">ROUND(100*(Z:Z)/(U:U), 2)</f>
        <v>3.06</v>
      </c>
      <c r="N156" s="617">
        <v>74.2</v>
      </c>
      <c r="O156" s="12">
        <v>1.0</v>
      </c>
      <c r="P156" s="12">
        <v>15.0</v>
      </c>
      <c r="Q156" s="12">
        <v>14.0</v>
      </c>
      <c r="R156" s="12">
        <v>6.0</v>
      </c>
      <c r="S156" s="12">
        <v>7.0</v>
      </c>
      <c r="T156" s="12">
        <v>0.0</v>
      </c>
      <c r="U156" s="12">
        <v>98.0</v>
      </c>
      <c r="V156" s="12">
        <v>54.0</v>
      </c>
      <c r="W156" s="12">
        <v>43.0</v>
      </c>
      <c r="X156" s="12">
        <v>16.0</v>
      </c>
      <c r="Y156" s="12">
        <v>66.0</v>
      </c>
      <c r="Z156" s="12">
        <v>3.0</v>
      </c>
      <c r="AA156" s="12">
        <v>3.0</v>
      </c>
      <c r="AB156" s="12" t="s">
        <v>35</v>
      </c>
    </row>
    <row r="157">
      <c r="A157" s="14"/>
      <c r="B157" s="15" t="s">
        <v>44</v>
      </c>
      <c r="C157" s="12" t="s">
        <v>45</v>
      </c>
      <c r="D157" s="395">
        <f t="shared" si="43"/>
        <v>3</v>
      </c>
      <c r="E157" s="104">
        <v>3.97</v>
      </c>
      <c r="F157" s="451">
        <f t="shared" si="44"/>
        <v>-0.97</v>
      </c>
      <c r="G157" s="49">
        <f t="shared" si="45"/>
        <v>4.32</v>
      </c>
      <c r="H157" s="618">
        <v>1.21</v>
      </c>
      <c r="I157" s="619">
        <v>8.17</v>
      </c>
      <c r="J157" s="73">
        <f t="shared" si="46"/>
        <v>2.67</v>
      </c>
      <c r="K157" s="101">
        <f t="shared" si="47"/>
        <v>3.07</v>
      </c>
      <c r="L157" s="593">
        <f t="shared" si="48"/>
        <v>0.23</v>
      </c>
      <c r="M157" s="620">
        <f t="shared" si="49"/>
        <v>2.9</v>
      </c>
      <c r="N157" s="621">
        <v>79.1</v>
      </c>
      <c r="O157" s="12">
        <v>6.0</v>
      </c>
      <c r="P157" s="12">
        <v>15.0</v>
      </c>
      <c r="Q157" s="12">
        <v>12.0</v>
      </c>
      <c r="R157" s="12">
        <v>7.0</v>
      </c>
      <c r="S157" s="12">
        <v>0.0</v>
      </c>
      <c r="T157" s="12">
        <v>0.0</v>
      </c>
      <c r="U157" s="78">
        <v>69.0</v>
      </c>
      <c r="V157" s="78">
        <v>38.0</v>
      </c>
      <c r="W157" s="78">
        <v>35.0</v>
      </c>
      <c r="X157" s="78">
        <v>27.0</v>
      </c>
      <c r="Y157" s="78">
        <v>72.0</v>
      </c>
      <c r="Z157" s="12">
        <v>2.0</v>
      </c>
      <c r="AA157" s="12">
        <v>7.0</v>
      </c>
      <c r="AB157" s="12" t="s">
        <v>35</v>
      </c>
    </row>
    <row r="158">
      <c r="A158" s="14"/>
      <c r="B158" s="15" t="s">
        <v>48</v>
      </c>
      <c r="C158" s="12" t="s">
        <v>49</v>
      </c>
      <c r="D158" s="69">
        <f t="shared" si="43"/>
        <v>3.37</v>
      </c>
      <c r="E158" s="89">
        <v>5.28</v>
      </c>
      <c r="F158" s="90">
        <f t="shared" si="44"/>
        <v>-1.91</v>
      </c>
      <c r="G158" s="91">
        <f t="shared" si="45"/>
        <v>7.29</v>
      </c>
      <c r="H158" s="622">
        <v>1.48</v>
      </c>
      <c r="I158" s="623">
        <v>5.59</v>
      </c>
      <c r="J158" s="94">
        <f t="shared" si="46"/>
        <v>2.25</v>
      </c>
      <c r="K158" s="95">
        <f t="shared" si="47"/>
        <v>2.48</v>
      </c>
      <c r="L158" s="624">
        <f t="shared" si="48"/>
        <v>0.16</v>
      </c>
      <c r="M158" s="625">
        <f t="shared" si="49"/>
        <v>1.43</v>
      </c>
      <c r="N158" s="98">
        <v>58.0</v>
      </c>
      <c r="O158" s="12">
        <v>0.0</v>
      </c>
      <c r="P158" s="12">
        <v>12.0</v>
      </c>
      <c r="Q158" s="12">
        <v>0.0</v>
      </c>
      <c r="R158" s="12">
        <v>3.0</v>
      </c>
      <c r="S158" s="12">
        <v>4.0</v>
      </c>
      <c r="T158" s="12">
        <v>0.0</v>
      </c>
      <c r="U158" s="12">
        <v>70.0</v>
      </c>
      <c r="V158" s="12">
        <v>47.0</v>
      </c>
      <c r="W158" s="12">
        <v>34.0</v>
      </c>
      <c r="X158" s="12">
        <v>16.0</v>
      </c>
      <c r="Y158" s="12">
        <v>36.0</v>
      </c>
      <c r="Z158" s="12">
        <v>1.0</v>
      </c>
      <c r="AA158" s="12">
        <v>7.0</v>
      </c>
      <c r="AB158" s="12" t="s">
        <v>35</v>
      </c>
    </row>
    <row r="159">
      <c r="A159" s="14"/>
      <c r="B159" s="15" t="s">
        <v>67</v>
      </c>
      <c r="C159" s="12" t="s">
        <v>68</v>
      </c>
      <c r="D159" s="626">
        <f t="shared" si="43"/>
        <v>3.47</v>
      </c>
      <c r="E159" s="345">
        <v>5.29</v>
      </c>
      <c r="F159" s="627">
        <f t="shared" si="44"/>
        <v>-1.82</v>
      </c>
      <c r="G159" s="47">
        <f t="shared" si="45"/>
        <v>6</v>
      </c>
      <c r="H159" s="628">
        <v>1.73</v>
      </c>
      <c r="I159" s="629">
        <v>6.0</v>
      </c>
      <c r="J159" s="353">
        <f t="shared" si="46"/>
        <v>1.89</v>
      </c>
      <c r="K159" s="157">
        <f t="shared" si="47"/>
        <v>3.18</v>
      </c>
      <c r="L159" s="630">
        <f t="shared" si="48"/>
        <v>0.18</v>
      </c>
      <c r="M159" s="625">
        <f t="shared" si="49"/>
        <v>1.43</v>
      </c>
      <c r="N159" s="188">
        <v>51.0</v>
      </c>
      <c r="O159" s="12">
        <v>1.0</v>
      </c>
      <c r="P159" s="12">
        <v>12.0</v>
      </c>
      <c r="Q159" s="12">
        <v>11.0</v>
      </c>
      <c r="R159" s="12">
        <v>7.0</v>
      </c>
      <c r="S159" s="12">
        <v>2.0</v>
      </c>
      <c r="T159" s="12">
        <v>0.0</v>
      </c>
      <c r="U159" s="12">
        <v>70.0</v>
      </c>
      <c r="V159" s="12">
        <v>34.0</v>
      </c>
      <c r="W159" s="12">
        <v>30.0</v>
      </c>
      <c r="X159" s="12">
        <v>18.0</v>
      </c>
      <c r="Y159" s="12">
        <v>34.0</v>
      </c>
      <c r="Z159" s="12">
        <v>1.0</v>
      </c>
      <c r="AA159" s="12">
        <v>5.0</v>
      </c>
      <c r="AB159" s="12" t="s">
        <v>35</v>
      </c>
    </row>
    <row r="160">
      <c r="A160" s="14"/>
      <c r="B160" s="15" t="s">
        <v>73</v>
      </c>
      <c r="C160" s="12" t="s">
        <v>124</v>
      </c>
      <c r="D160" s="209">
        <f t="shared" si="43"/>
        <v>3.58</v>
      </c>
      <c r="E160" s="396">
        <v>3.95</v>
      </c>
      <c r="F160" s="442">
        <f t="shared" si="44"/>
        <v>-0.37</v>
      </c>
      <c r="G160" s="202">
        <f t="shared" si="45"/>
        <v>5.32</v>
      </c>
      <c r="H160" s="631">
        <v>1.62</v>
      </c>
      <c r="I160" s="632">
        <v>7.77</v>
      </c>
      <c r="J160" s="444">
        <f t="shared" si="46"/>
        <v>1.36</v>
      </c>
      <c r="K160" s="445">
        <f t="shared" si="47"/>
        <v>5.73</v>
      </c>
      <c r="L160" s="633">
        <f t="shared" si="48"/>
        <v>0.14</v>
      </c>
      <c r="M160" s="634">
        <f t="shared" si="49"/>
        <v>1.54</v>
      </c>
      <c r="N160" s="448">
        <v>66.0</v>
      </c>
      <c r="O160" s="12">
        <v>1.0</v>
      </c>
      <c r="P160" s="12">
        <v>18.0</v>
      </c>
      <c r="Q160" s="12">
        <v>6.0</v>
      </c>
      <c r="R160" s="12">
        <v>6.0</v>
      </c>
      <c r="S160" s="12">
        <v>4.0</v>
      </c>
      <c r="T160" s="12">
        <v>1.0</v>
      </c>
      <c r="U160" s="12">
        <v>65.0</v>
      </c>
      <c r="V160" s="12">
        <v>39.0</v>
      </c>
      <c r="W160" s="12">
        <v>29.0</v>
      </c>
      <c r="X160" s="12">
        <v>42.0</v>
      </c>
      <c r="Y160" s="12">
        <v>57.0</v>
      </c>
      <c r="Z160" s="12">
        <v>1.0</v>
      </c>
      <c r="AA160" s="12">
        <v>0.0</v>
      </c>
      <c r="AB160" s="12" t="s">
        <v>35</v>
      </c>
    </row>
    <row r="161">
      <c r="A161" s="14"/>
      <c r="B161" s="15" t="s">
        <v>83</v>
      </c>
      <c r="C161" s="12" t="s">
        <v>84</v>
      </c>
      <c r="D161" s="105">
        <f t="shared" si="43"/>
        <v>3.8</v>
      </c>
      <c r="E161" s="239">
        <v>3.45</v>
      </c>
      <c r="F161" s="427">
        <f t="shared" si="44"/>
        <v>0.35</v>
      </c>
      <c r="G161" s="101">
        <f t="shared" si="45"/>
        <v>4.8</v>
      </c>
      <c r="H161" s="635">
        <v>1.52</v>
      </c>
      <c r="I161" s="636">
        <v>7.2</v>
      </c>
      <c r="J161" s="262">
        <f t="shared" si="46"/>
        <v>1.3</v>
      </c>
      <c r="K161" s="429">
        <f t="shared" si="47"/>
        <v>5.55</v>
      </c>
      <c r="L161" s="637">
        <f t="shared" si="48"/>
        <v>0</v>
      </c>
      <c r="M161" s="638">
        <f t="shared" si="49"/>
        <v>0</v>
      </c>
      <c r="N161" s="430">
        <v>60.0</v>
      </c>
      <c r="O161" s="12">
        <v>1.0</v>
      </c>
      <c r="P161" s="12">
        <v>13.0</v>
      </c>
      <c r="Q161" s="12">
        <v>10.0</v>
      </c>
      <c r="R161" s="12">
        <v>3.0</v>
      </c>
      <c r="S161" s="12">
        <v>1.0</v>
      </c>
      <c r="T161" s="12">
        <v>0.0</v>
      </c>
      <c r="U161" s="12">
        <v>54.0</v>
      </c>
      <c r="V161" s="12">
        <v>32.0</v>
      </c>
      <c r="W161" s="12">
        <v>23.0</v>
      </c>
      <c r="X161" s="12">
        <v>37.0</v>
      </c>
      <c r="Y161" s="12">
        <v>48.0</v>
      </c>
      <c r="Z161" s="12">
        <v>0.0</v>
      </c>
      <c r="AA161" s="12">
        <v>7.0</v>
      </c>
      <c r="AB161" s="12" t="s">
        <v>35</v>
      </c>
    </row>
    <row r="162">
      <c r="A162" s="398"/>
      <c r="B162" s="128" t="s">
        <v>93</v>
      </c>
      <c r="C162" s="123" t="s">
        <v>94</v>
      </c>
      <c r="D162" s="639">
        <f t="shared" si="43"/>
        <v>4.06</v>
      </c>
      <c r="E162" s="640">
        <v>6.88</v>
      </c>
      <c r="F162" s="641">
        <f t="shared" si="44"/>
        <v>-2.82</v>
      </c>
      <c r="G162" s="642">
        <f t="shared" si="45"/>
        <v>7.94</v>
      </c>
      <c r="H162" s="643">
        <v>1.78</v>
      </c>
      <c r="I162" s="644">
        <v>4.59</v>
      </c>
      <c r="J162" s="645">
        <f t="shared" si="46"/>
        <v>1.04</v>
      </c>
      <c r="K162" s="518">
        <f t="shared" si="47"/>
        <v>4.41</v>
      </c>
      <c r="L162" s="646">
        <f t="shared" si="48"/>
        <v>0</v>
      </c>
      <c r="M162" s="647">
        <f t="shared" si="49"/>
        <v>0</v>
      </c>
      <c r="N162" s="648">
        <v>51.0</v>
      </c>
      <c r="O162" s="123">
        <v>1.0</v>
      </c>
      <c r="P162" s="123">
        <v>11.0</v>
      </c>
      <c r="Q162" s="123">
        <v>8.0</v>
      </c>
      <c r="R162" s="123">
        <v>3.0</v>
      </c>
      <c r="S162" s="123">
        <v>4.0</v>
      </c>
      <c r="T162" s="123">
        <v>0.0</v>
      </c>
      <c r="U162" s="123">
        <v>66.0</v>
      </c>
      <c r="V162" s="123">
        <v>45.0</v>
      </c>
      <c r="W162" s="123">
        <v>39.0</v>
      </c>
      <c r="X162" s="123">
        <v>25.0</v>
      </c>
      <c r="Y162" s="123">
        <v>26.0</v>
      </c>
      <c r="Z162" s="123">
        <v>0.0</v>
      </c>
      <c r="AA162" s="123">
        <v>7.0</v>
      </c>
      <c r="AB162" s="123" t="s">
        <v>35</v>
      </c>
    </row>
    <row r="163">
      <c r="A163" s="14"/>
      <c r="B163" s="15" t="s">
        <v>101</v>
      </c>
      <c r="C163" s="12" t="s">
        <v>102</v>
      </c>
      <c r="D163" s="378">
        <f t="shared" si="43"/>
        <v>4.21</v>
      </c>
      <c r="E163" s="164">
        <v>5.82</v>
      </c>
      <c r="F163" s="243">
        <f t="shared" si="44"/>
        <v>-1.61</v>
      </c>
      <c r="G163" s="371">
        <f t="shared" si="45"/>
        <v>6.89</v>
      </c>
      <c r="H163" s="466">
        <v>1.74</v>
      </c>
      <c r="I163" s="649">
        <v>7.16</v>
      </c>
      <c r="J163" s="373">
        <f t="shared" si="46"/>
        <v>1.17</v>
      </c>
      <c r="K163" s="374">
        <f t="shared" si="47"/>
        <v>6.14</v>
      </c>
      <c r="L163" s="650">
        <f t="shared" si="48"/>
        <v>0.15</v>
      </c>
      <c r="M163" s="651">
        <f t="shared" si="49"/>
        <v>1.56</v>
      </c>
      <c r="N163" s="264">
        <v>60.1</v>
      </c>
      <c r="O163" s="12">
        <v>0.0</v>
      </c>
      <c r="P163" s="12">
        <v>19.0</v>
      </c>
      <c r="Q163" s="12">
        <v>9.0</v>
      </c>
      <c r="R163" s="12">
        <v>5.0</v>
      </c>
      <c r="S163" s="12">
        <v>5.0</v>
      </c>
      <c r="T163" s="12">
        <v>3.0</v>
      </c>
      <c r="U163" s="12">
        <v>64.0</v>
      </c>
      <c r="V163" s="12">
        <v>46.0</v>
      </c>
      <c r="W163" s="12">
        <v>39.0</v>
      </c>
      <c r="X163" s="12">
        <v>41.0</v>
      </c>
      <c r="Y163" s="12">
        <v>48.0</v>
      </c>
      <c r="Z163" s="12">
        <v>1.0</v>
      </c>
      <c r="AA163" s="12">
        <v>7.0</v>
      </c>
      <c r="AB163" s="12" t="s">
        <v>35</v>
      </c>
    </row>
    <row r="164">
      <c r="A164" s="14"/>
      <c r="B164" s="15" t="s">
        <v>119</v>
      </c>
      <c r="C164" s="12" t="s">
        <v>120</v>
      </c>
      <c r="D164" s="652">
        <f t="shared" si="43"/>
        <v>4.18</v>
      </c>
      <c r="E164" s="115">
        <v>5.04</v>
      </c>
      <c r="F164" s="508">
        <f t="shared" si="44"/>
        <v>-0.86</v>
      </c>
      <c r="G164" s="509">
        <f t="shared" si="45"/>
        <v>6.37</v>
      </c>
      <c r="H164" s="653">
        <v>1.68</v>
      </c>
      <c r="I164" s="654">
        <v>7.32</v>
      </c>
      <c r="J164" s="511">
        <f t="shared" si="46"/>
        <v>1.22</v>
      </c>
      <c r="K164" s="512">
        <f t="shared" si="47"/>
        <v>6.04</v>
      </c>
      <c r="L164" s="637">
        <f t="shared" si="48"/>
        <v>0</v>
      </c>
      <c r="M164" s="638">
        <f t="shared" si="49"/>
        <v>0</v>
      </c>
      <c r="N164" s="513">
        <v>55.1</v>
      </c>
      <c r="O164" s="12">
        <v>3.0</v>
      </c>
      <c r="P164" s="12">
        <v>16.0</v>
      </c>
      <c r="Q164" s="12">
        <v>8.0</v>
      </c>
      <c r="R164" s="12">
        <v>2.0</v>
      </c>
      <c r="S164" s="12">
        <v>5.0</v>
      </c>
      <c r="T164" s="12">
        <v>1.0</v>
      </c>
      <c r="U164" s="12">
        <v>56.0</v>
      </c>
      <c r="V164" s="12">
        <v>39.0</v>
      </c>
      <c r="W164" s="12">
        <v>31.0</v>
      </c>
      <c r="X164" s="12">
        <v>37.0</v>
      </c>
      <c r="Y164" s="12">
        <v>45.0</v>
      </c>
      <c r="Z164" s="12">
        <v>0.0</v>
      </c>
      <c r="AA164" s="12">
        <v>11.0</v>
      </c>
      <c r="AB164" s="12" t="s">
        <v>35</v>
      </c>
    </row>
    <row r="165">
      <c r="A165" s="14"/>
      <c r="B165" s="15" t="s">
        <v>113</v>
      </c>
      <c r="C165" s="12" t="s">
        <v>114</v>
      </c>
      <c r="D165" s="378">
        <f t="shared" si="43"/>
        <v>4.21</v>
      </c>
      <c r="E165" s="337">
        <v>4.84</v>
      </c>
      <c r="F165" s="148">
        <f t="shared" si="44"/>
        <v>-0.63</v>
      </c>
      <c r="G165" s="418">
        <f t="shared" si="45"/>
        <v>5.45</v>
      </c>
      <c r="H165" s="622">
        <v>1.48</v>
      </c>
      <c r="I165" s="655">
        <v>8.22</v>
      </c>
      <c r="J165" s="483">
        <f t="shared" si="46"/>
        <v>1.24</v>
      </c>
      <c r="K165" s="484">
        <f t="shared" si="47"/>
        <v>6.63</v>
      </c>
      <c r="L165" s="637">
        <f t="shared" si="48"/>
        <v>0</v>
      </c>
      <c r="M165" s="656">
        <f t="shared" si="49"/>
        <v>0</v>
      </c>
      <c r="N165" s="485">
        <v>61.1</v>
      </c>
      <c r="O165" s="12">
        <v>1.0</v>
      </c>
      <c r="P165" s="12">
        <v>15.0</v>
      </c>
      <c r="Q165" s="12">
        <v>14.0</v>
      </c>
      <c r="R165" s="12">
        <v>6.0</v>
      </c>
      <c r="S165" s="12">
        <v>5.0</v>
      </c>
      <c r="T165" s="12">
        <v>0.0</v>
      </c>
      <c r="U165" s="12">
        <v>46.0</v>
      </c>
      <c r="V165" s="12">
        <v>37.0</v>
      </c>
      <c r="W165" s="12">
        <v>33.0</v>
      </c>
      <c r="X165" s="12">
        <v>45.0</v>
      </c>
      <c r="Y165" s="12">
        <v>56.0</v>
      </c>
      <c r="Z165" s="12">
        <v>0.0</v>
      </c>
      <c r="AA165" s="12">
        <v>13.0</v>
      </c>
      <c r="AB165" s="12" t="s">
        <v>35</v>
      </c>
    </row>
    <row r="167">
      <c r="A167" s="7"/>
      <c r="B167" s="121" t="s">
        <v>125</v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122"/>
      <c r="B168" s="123" t="s">
        <v>6</v>
      </c>
      <c r="C168" s="123" t="s">
        <v>7</v>
      </c>
      <c r="D168" s="126" t="s">
        <v>8</v>
      </c>
      <c r="E168" s="126" t="s">
        <v>9</v>
      </c>
      <c r="F168" s="126" t="s">
        <v>10</v>
      </c>
      <c r="G168" s="126" t="s">
        <v>11</v>
      </c>
      <c r="H168" s="397" t="s">
        <v>12</v>
      </c>
      <c r="I168" s="125" t="s">
        <v>13</v>
      </c>
      <c r="J168" s="126" t="s">
        <v>14</v>
      </c>
      <c r="K168" s="126" t="s">
        <v>15</v>
      </c>
      <c r="L168" s="126" t="s">
        <v>16</v>
      </c>
      <c r="M168" s="126" t="s">
        <v>17</v>
      </c>
      <c r="N168" s="126" t="s">
        <v>18</v>
      </c>
      <c r="O168" s="126" t="s">
        <v>19</v>
      </c>
      <c r="P168" s="126" t="s">
        <v>20</v>
      </c>
      <c r="Q168" s="126" t="s">
        <v>21</v>
      </c>
      <c r="R168" s="126" t="s">
        <v>22</v>
      </c>
      <c r="S168" s="126" t="s">
        <v>23</v>
      </c>
      <c r="T168" s="126" t="s">
        <v>24</v>
      </c>
      <c r="U168" s="126" t="s">
        <v>25</v>
      </c>
      <c r="V168" s="126" t="s">
        <v>26</v>
      </c>
      <c r="W168" s="126" t="s">
        <v>27</v>
      </c>
      <c r="X168" s="126" t="s">
        <v>28</v>
      </c>
      <c r="Y168" s="126" t="s">
        <v>29</v>
      </c>
      <c r="Z168" s="126" t="s">
        <v>30</v>
      </c>
      <c r="AA168" s="126" t="s">
        <v>31</v>
      </c>
      <c r="AB168" s="126" t="s">
        <v>32</v>
      </c>
    </row>
    <row r="169">
      <c r="A169" s="398"/>
      <c r="B169" s="128" t="s">
        <v>52</v>
      </c>
      <c r="C169" s="123" t="s">
        <v>53</v>
      </c>
      <c r="D169" s="657">
        <f t="shared" ref="D169:D182" si="50">ROUND(3.2 + (13*(Z:Z) + 3*((X:X) +(AA:AA)) - 2*(Y:Y))/(N:N), 2)</f>
        <v>3.95</v>
      </c>
      <c r="E169" s="657">
        <v>5.2</v>
      </c>
      <c r="F169" s="658">
        <f t="shared" ref="F169:F182" si="51">ROUND((D:D)-(E:E), 2)</f>
        <v>-1.25</v>
      </c>
      <c r="G169" s="659">
        <f t="shared" ref="G169:G182" si="52">ROUND(9*((V:V)/(N:N)), 2)</f>
        <v>5.91</v>
      </c>
      <c r="H169" s="660">
        <v>1.64</v>
      </c>
      <c r="I169" s="661">
        <v>13.22</v>
      </c>
      <c r="J169" s="662">
        <f t="shared" ref="J169:J182" si="53">ROUND((Y:Y)/(X:X), 2)</f>
        <v>1.77</v>
      </c>
      <c r="K169" s="645">
        <f t="shared" ref="K169:K182" si="54">ROUND(9*((X:X)/(N:N)), 2)</f>
        <v>7.45</v>
      </c>
      <c r="L169" s="663">
        <f t="shared" ref="L169:L182" si="55">ROUND(9*((Z:Z)/(N:N)), 2)</f>
        <v>0.7</v>
      </c>
      <c r="M169" s="664">
        <f t="shared" ref="M169:M182" si="56">ROUND(100*(Z:Z)/(U:U), 2)</f>
        <v>9.62</v>
      </c>
      <c r="N169" s="665">
        <v>64.0</v>
      </c>
      <c r="O169" s="123">
        <v>0.0</v>
      </c>
      <c r="P169" s="123">
        <v>14.0</v>
      </c>
      <c r="Q169" s="123">
        <v>14.0</v>
      </c>
      <c r="R169" s="123">
        <v>6.0</v>
      </c>
      <c r="S169" s="123">
        <v>2.0</v>
      </c>
      <c r="T169" s="123">
        <v>0.0</v>
      </c>
      <c r="U169" s="123">
        <v>52.0</v>
      </c>
      <c r="V169" s="123">
        <v>42.0</v>
      </c>
      <c r="W169" s="123">
        <v>37.0</v>
      </c>
      <c r="X169" s="123">
        <v>53.0</v>
      </c>
      <c r="Y169" s="123">
        <v>94.0</v>
      </c>
      <c r="Z169" s="123">
        <v>5.0</v>
      </c>
      <c r="AA169" s="123">
        <v>4.0</v>
      </c>
      <c r="AB169" s="123" t="s">
        <v>35</v>
      </c>
    </row>
    <row r="170">
      <c r="A170" s="14"/>
      <c r="B170" s="15" t="s">
        <v>77</v>
      </c>
      <c r="C170" s="12" t="s">
        <v>78</v>
      </c>
      <c r="D170" s="418">
        <f t="shared" si="50"/>
        <v>3.71</v>
      </c>
      <c r="E170" s="666">
        <v>6.24</v>
      </c>
      <c r="F170" s="667">
        <f t="shared" si="51"/>
        <v>-2.53</v>
      </c>
      <c r="G170" s="320">
        <f t="shared" si="52"/>
        <v>7.46</v>
      </c>
      <c r="H170" s="668">
        <v>1.43</v>
      </c>
      <c r="I170" s="669">
        <v>12.83</v>
      </c>
      <c r="J170" s="321">
        <f t="shared" si="53"/>
        <v>2</v>
      </c>
      <c r="K170" s="322">
        <f t="shared" si="54"/>
        <v>6.44</v>
      </c>
      <c r="L170" s="323">
        <f t="shared" si="55"/>
        <v>0.34</v>
      </c>
      <c r="M170" s="324">
        <f t="shared" si="56"/>
        <v>5.26</v>
      </c>
      <c r="N170" s="240">
        <v>53.1</v>
      </c>
      <c r="O170" s="12">
        <v>1.0</v>
      </c>
      <c r="P170" s="12">
        <v>13.0</v>
      </c>
      <c r="Q170" s="12">
        <v>12.0</v>
      </c>
      <c r="R170" s="12">
        <v>3.0</v>
      </c>
      <c r="S170" s="12">
        <v>5.0</v>
      </c>
      <c r="T170" s="12">
        <v>0.0</v>
      </c>
      <c r="U170" s="12">
        <v>38.0</v>
      </c>
      <c r="V170" s="12">
        <v>44.0</v>
      </c>
      <c r="W170" s="12">
        <v>37.0</v>
      </c>
      <c r="X170" s="12">
        <v>38.0</v>
      </c>
      <c r="Y170" s="12">
        <v>76.0</v>
      </c>
      <c r="Z170" s="12">
        <v>2.0</v>
      </c>
      <c r="AA170" s="12">
        <v>13.0</v>
      </c>
      <c r="AB170" s="12" t="s">
        <v>35</v>
      </c>
    </row>
    <row r="171">
      <c r="A171" s="14"/>
      <c r="B171" s="15" t="s">
        <v>38</v>
      </c>
      <c r="C171" s="12" t="s">
        <v>39</v>
      </c>
      <c r="D171" s="38">
        <f t="shared" si="50"/>
        <v>3.08</v>
      </c>
      <c r="E171" s="39">
        <v>3.72</v>
      </c>
      <c r="F171" s="40">
        <f t="shared" si="51"/>
        <v>-0.64</v>
      </c>
      <c r="G171" s="41">
        <f t="shared" si="52"/>
        <v>4.67</v>
      </c>
      <c r="H171" s="670">
        <v>1.23</v>
      </c>
      <c r="I171" s="671">
        <v>12.69</v>
      </c>
      <c r="J171" s="44">
        <f t="shared" si="53"/>
        <v>3.11</v>
      </c>
      <c r="K171" s="45">
        <f t="shared" si="54"/>
        <v>4.09</v>
      </c>
      <c r="L171" s="46">
        <f t="shared" si="55"/>
        <v>0.58</v>
      </c>
      <c r="M171" s="47">
        <f t="shared" si="56"/>
        <v>8.33</v>
      </c>
      <c r="N171" s="48">
        <v>77.1</v>
      </c>
      <c r="O171" s="12">
        <v>5.0</v>
      </c>
      <c r="P171" s="12">
        <v>14.0</v>
      </c>
      <c r="Q171" s="12">
        <v>14.0</v>
      </c>
      <c r="R171" s="12">
        <v>11.0</v>
      </c>
      <c r="S171" s="12">
        <v>1.0</v>
      </c>
      <c r="T171" s="12">
        <v>0.0</v>
      </c>
      <c r="U171" s="12">
        <v>60.0</v>
      </c>
      <c r="V171" s="12">
        <v>40.0</v>
      </c>
      <c r="W171" s="12">
        <v>32.0</v>
      </c>
      <c r="X171" s="12">
        <v>35.0</v>
      </c>
      <c r="Y171" s="12">
        <v>109.0</v>
      </c>
      <c r="Z171" s="12">
        <v>5.0</v>
      </c>
      <c r="AA171" s="12">
        <v>13.0</v>
      </c>
      <c r="AB171" s="12" t="s">
        <v>35</v>
      </c>
    </row>
    <row r="172">
      <c r="A172" s="14"/>
      <c r="B172" s="15" t="s">
        <v>85</v>
      </c>
      <c r="C172" s="12" t="s">
        <v>86</v>
      </c>
      <c r="D172" s="109">
        <f t="shared" si="50"/>
        <v>3.82</v>
      </c>
      <c r="E172" s="114">
        <v>4.9</v>
      </c>
      <c r="F172" s="495">
        <f t="shared" si="51"/>
        <v>-1.08</v>
      </c>
      <c r="G172" s="496">
        <f t="shared" si="52"/>
        <v>5.56</v>
      </c>
      <c r="H172" s="571">
        <v>1.41</v>
      </c>
      <c r="I172" s="671">
        <v>12.68</v>
      </c>
      <c r="J172" s="18">
        <f t="shared" si="53"/>
        <v>2.53</v>
      </c>
      <c r="K172" s="86">
        <f t="shared" si="54"/>
        <v>5.06</v>
      </c>
      <c r="L172" s="322">
        <f t="shared" si="55"/>
        <v>1.14</v>
      </c>
      <c r="M172" s="497">
        <f t="shared" si="56"/>
        <v>14.75</v>
      </c>
      <c r="N172" s="419">
        <v>71.2</v>
      </c>
      <c r="O172" s="12">
        <v>1.0</v>
      </c>
      <c r="P172" s="12">
        <v>18.0</v>
      </c>
      <c r="Q172" s="12">
        <v>11.0</v>
      </c>
      <c r="R172" s="12">
        <v>9.0</v>
      </c>
      <c r="S172" s="12">
        <v>2.0</v>
      </c>
      <c r="T172" s="12">
        <v>0.0</v>
      </c>
      <c r="U172" s="12">
        <v>61.0</v>
      </c>
      <c r="V172" s="12">
        <v>44.0</v>
      </c>
      <c r="W172" s="12">
        <v>39.0</v>
      </c>
      <c r="X172" s="12">
        <v>40.0</v>
      </c>
      <c r="Y172" s="12">
        <v>101.0</v>
      </c>
      <c r="Z172" s="12">
        <v>9.0</v>
      </c>
      <c r="AA172" s="12">
        <v>3.0</v>
      </c>
      <c r="AB172" s="12" t="s">
        <v>35</v>
      </c>
    </row>
    <row r="173">
      <c r="A173" s="14"/>
      <c r="B173" s="15" t="s">
        <v>76</v>
      </c>
      <c r="C173" s="12" t="s">
        <v>34</v>
      </c>
      <c r="D173" s="607">
        <f t="shared" si="50"/>
        <v>3.66</v>
      </c>
      <c r="E173" s="608">
        <v>5.91</v>
      </c>
      <c r="F173" s="225">
        <f t="shared" si="51"/>
        <v>-2.25</v>
      </c>
      <c r="G173" s="333">
        <f t="shared" si="52"/>
        <v>6.9</v>
      </c>
      <c r="H173" s="672">
        <v>1.35</v>
      </c>
      <c r="I173" s="673">
        <v>11.34</v>
      </c>
      <c r="J173" s="314">
        <f t="shared" si="53"/>
        <v>3.94</v>
      </c>
      <c r="K173" s="68">
        <f t="shared" si="54"/>
        <v>2.89</v>
      </c>
      <c r="L173" s="334">
        <f t="shared" si="55"/>
        <v>0.96</v>
      </c>
      <c r="M173" s="61">
        <f t="shared" si="56"/>
        <v>10.34</v>
      </c>
      <c r="N173" s="230">
        <v>56.1</v>
      </c>
      <c r="O173" s="12">
        <v>0.0</v>
      </c>
      <c r="P173" s="12">
        <v>31.0</v>
      </c>
      <c r="Q173" s="12">
        <v>0.0</v>
      </c>
      <c r="R173" s="12">
        <v>6.0</v>
      </c>
      <c r="S173" s="12">
        <v>4.0</v>
      </c>
      <c r="T173" s="222">
        <v>11.0</v>
      </c>
      <c r="U173" s="12">
        <v>58.0</v>
      </c>
      <c r="V173" s="12">
        <v>43.0</v>
      </c>
      <c r="W173" s="12">
        <v>37.0</v>
      </c>
      <c r="X173" s="12">
        <v>18.0</v>
      </c>
      <c r="Y173" s="12">
        <v>71.0</v>
      </c>
      <c r="Z173" s="12">
        <v>6.0</v>
      </c>
      <c r="AA173" s="12">
        <v>12.0</v>
      </c>
      <c r="AB173" s="12" t="s">
        <v>35</v>
      </c>
    </row>
    <row r="174">
      <c r="A174" s="14"/>
      <c r="B174" s="15" t="s">
        <v>79</v>
      </c>
      <c r="C174" s="12" t="s">
        <v>80</v>
      </c>
      <c r="D174" s="339">
        <f t="shared" si="50"/>
        <v>3.75</v>
      </c>
      <c r="E174" s="86">
        <v>5.37</v>
      </c>
      <c r="F174" s="572">
        <f t="shared" si="51"/>
        <v>-1.62</v>
      </c>
      <c r="G174" s="164">
        <f t="shared" si="52"/>
        <v>7.26</v>
      </c>
      <c r="H174" s="674">
        <v>1.49</v>
      </c>
      <c r="I174" s="675">
        <v>11.03</v>
      </c>
      <c r="J174" s="183">
        <f t="shared" si="53"/>
        <v>2.23</v>
      </c>
      <c r="K174" s="366">
        <f t="shared" si="54"/>
        <v>4.98</v>
      </c>
      <c r="L174" s="183">
        <f t="shared" si="55"/>
        <v>0.71</v>
      </c>
      <c r="M174" s="47">
        <f t="shared" si="56"/>
        <v>8.33</v>
      </c>
      <c r="N174" s="367">
        <v>63.2</v>
      </c>
      <c r="O174" s="12">
        <v>4.0</v>
      </c>
      <c r="P174" s="12">
        <v>13.0</v>
      </c>
      <c r="Q174" s="12">
        <v>13.0</v>
      </c>
      <c r="R174" s="12">
        <v>6.0</v>
      </c>
      <c r="S174" s="12">
        <v>2.0</v>
      </c>
      <c r="T174" s="12">
        <v>0.0</v>
      </c>
      <c r="U174" s="12">
        <v>60.0</v>
      </c>
      <c r="V174" s="12">
        <v>51.0</v>
      </c>
      <c r="W174" s="12">
        <v>38.0</v>
      </c>
      <c r="X174" s="12">
        <v>35.0</v>
      </c>
      <c r="Y174" s="12">
        <v>78.0</v>
      </c>
      <c r="Z174" s="12">
        <v>5.0</v>
      </c>
      <c r="AA174" s="12">
        <v>7.0</v>
      </c>
      <c r="AB174" s="12" t="s">
        <v>35</v>
      </c>
    </row>
    <row r="175">
      <c r="A175" s="14"/>
      <c r="B175" s="15" t="s">
        <v>33</v>
      </c>
      <c r="C175" s="12" t="s">
        <v>34</v>
      </c>
      <c r="D175" s="536">
        <f t="shared" si="50"/>
        <v>2.31</v>
      </c>
      <c r="E175" s="537">
        <v>3.33</v>
      </c>
      <c r="F175" s="422">
        <f t="shared" si="51"/>
        <v>-1.02</v>
      </c>
      <c r="G175" s="423">
        <f t="shared" si="52"/>
        <v>4.19</v>
      </c>
      <c r="H175" s="676">
        <v>1.19</v>
      </c>
      <c r="I175" s="677">
        <v>10.94</v>
      </c>
      <c r="J175" s="22">
        <f t="shared" si="53"/>
        <v>4.84</v>
      </c>
      <c r="K175" s="424">
        <f t="shared" si="54"/>
        <v>2.27</v>
      </c>
      <c r="L175" s="239">
        <f t="shared" si="55"/>
        <v>0.36</v>
      </c>
      <c r="M175" s="239">
        <f t="shared" si="56"/>
        <v>4.23</v>
      </c>
      <c r="N175" s="26">
        <v>75.2</v>
      </c>
      <c r="O175" s="12">
        <v>1.0</v>
      </c>
      <c r="P175" s="12">
        <v>14.0</v>
      </c>
      <c r="Q175" s="12">
        <v>13.0</v>
      </c>
      <c r="R175" s="12">
        <v>7.0</v>
      </c>
      <c r="S175" s="12">
        <v>1.0</v>
      </c>
      <c r="T175" s="12">
        <v>0.0</v>
      </c>
      <c r="U175" s="12">
        <v>71.0</v>
      </c>
      <c r="V175" s="12">
        <v>35.0</v>
      </c>
      <c r="W175" s="12">
        <v>28.0</v>
      </c>
      <c r="X175" s="12">
        <v>19.0</v>
      </c>
      <c r="Y175" s="12">
        <v>92.0</v>
      </c>
      <c r="Z175" s="12">
        <v>3.0</v>
      </c>
      <c r="AA175" s="12">
        <v>7.0</v>
      </c>
      <c r="AB175" s="12" t="s">
        <v>35</v>
      </c>
    </row>
    <row r="176">
      <c r="A176" s="14"/>
      <c r="B176" s="15" t="s">
        <v>46</v>
      </c>
      <c r="C176" s="12" t="s">
        <v>47</v>
      </c>
      <c r="D176" s="79">
        <f t="shared" si="50"/>
        <v>3.11</v>
      </c>
      <c r="E176" s="80">
        <v>6.33</v>
      </c>
      <c r="F176" s="81">
        <f t="shared" si="51"/>
        <v>-3.22</v>
      </c>
      <c r="G176" s="82">
        <f t="shared" si="52"/>
        <v>7.67</v>
      </c>
      <c r="H176" s="678">
        <v>1.69</v>
      </c>
      <c r="I176" s="679">
        <v>10.87</v>
      </c>
      <c r="J176" s="85">
        <f t="shared" si="53"/>
        <v>3.64</v>
      </c>
      <c r="K176" s="39">
        <f t="shared" si="54"/>
        <v>3</v>
      </c>
      <c r="L176" s="86">
        <f t="shared" si="55"/>
        <v>0.84</v>
      </c>
      <c r="M176" s="87">
        <f t="shared" si="56"/>
        <v>6.86</v>
      </c>
      <c r="N176" s="88">
        <v>75.1</v>
      </c>
      <c r="O176" s="12">
        <v>0.0</v>
      </c>
      <c r="P176" s="12">
        <v>16.0</v>
      </c>
      <c r="Q176" s="12">
        <v>0.0</v>
      </c>
      <c r="R176" s="12">
        <v>6.0</v>
      </c>
      <c r="S176" s="12">
        <v>5.0</v>
      </c>
      <c r="T176" s="12">
        <v>0.0</v>
      </c>
      <c r="U176" s="12">
        <v>102.0</v>
      </c>
      <c r="V176" s="12">
        <v>64.0</v>
      </c>
      <c r="W176" s="160">
        <v>53.0</v>
      </c>
      <c r="X176" s="12">
        <v>25.0</v>
      </c>
      <c r="Y176" s="12">
        <v>91.0</v>
      </c>
      <c r="Z176" s="12">
        <v>7.0</v>
      </c>
      <c r="AA176" s="12">
        <v>3.0</v>
      </c>
      <c r="AB176" s="12" t="s">
        <v>35</v>
      </c>
    </row>
    <row r="177">
      <c r="A177" s="14"/>
      <c r="B177" s="15" t="s">
        <v>115</v>
      </c>
      <c r="C177" s="12" t="s">
        <v>116</v>
      </c>
      <c r="D177" s="113">
        <f t="shared" si="50"/>
        <v>4.46</v>
      </c>
      <c r="E177" s="307">
        <v>4.89</v>
      </c>
      <c r="F177" s="487">
        <f t="shared" si="51"/>
        <v>-0.43</v>
      </c>
      <c r="G177" s="488">
        <f t="shared" si="52"/>
        <v>6.69</v>
      </c>
      <c r="H177" s="680">
        <v>1.51</v>
      </c>
      <c r="I177" s="681">
        <v>10.8</v>
      </c>
      <c r="J177" s="489">
        <f t="shared" si="53"/>
        <v>2.33</v>
      </c>
      <c r="K177" s="115">
        <f t="shared" si="54"/>
        <v>4.63</v>
      </c>
      <c r="L177" s="490">
        <f t="shared" si="55"/>
        <v>0.9</v>
      </c>
      <c r="M177" s="491">
        <f t="shared" si="56"/>
        <v>10</v>
      </c>
      <c r="N177" s="492">
        <v>70.0</v>
      </c>
      <c r="O177" s="12">
        <v>1.0</v>
      </c>
      <c r="P177" s="12">
        <v>25.0</v>
      </c>
      <c r="Q177" s="12">
        <v>5.0</v>
      </c>
      <c r="R177" s="12">
        <v>6.0</v>
      </c>
      <c r="S177" s="12">
        <v>7.0</v>
      </c>
      <c r="T177" s="12">
        <v>6.0</v>
      </c>
      <c r="U177" s="12">
        <v>70.0</v>
      </c>
      <c r="V177" s="12">
        <v>52.0</v>
      </c>
      <c r="W177" s="12">
        <v>38.0</v>
      </c>
      <c r="X177" s="12">
        <v>36.0</v>
      </c>
      <c r="Y177" s="12">
        <v>84.0</v>
      </c>
      <c r="Z177" s="12">
        <v>7.0</v>
      </c>
      <c r="AA177" s="12">
        <v>19.0</v>
      </c>
      <c r="AB177" s="12" t="s">
        <v>35</v>
      </c>
    </row>
    <row r="178">
      <c r="A178" s="14"/>
      <c r="B178" s="15" t="s">
        <v>36</v>
      </c>
      <c r="C178" s="12" t="s">
        <v>37</v>
      </c>
      <c r="D178" s="19">
        <f t="shared" si="50"/>
        <v>2.79</v>
      </c>
      <c r="E178" s="102">
        <v>3.91</v>
      </c>
      <c r="F178" s="438">
        <f t="shared" si="51"/>
        <v>-1.12</v>
      </c>
      <c r="G178" s="392">
        <f t="shared" si="52"/>
        <v>5.19</v>
      </c>
      <c r="H178" s="682">
        <v>1.11</v>
      </c>
      <c r="I178" s="683">
        <v>10.69</v>
      </c>
      <c r="J178" s="33">
        <f t="shared" si="53"/>
        <v>3.88</v>
      </c>
      <c r="K178" s="395">
        <f t="shared" si="54"/>
        <v>2.77</v>
      </c>
      <c r="L178" s="396">
        <f t="shared" si="55"/>
        <v>0.46</v>
      </c>
      <c r="M178" s="18">
        <f t="shared" si="56"/>
        <v>6.35</v>
      </c>
      <c r="N178" s="37">
        <v>78.1</v>
      </c>
      <c r="O178" s="12">
        <v>0.0</v>
      </c>
      <c r="P178" s="12">
        <v>18.0</v>
      </c>
      <c r="Q178" s="12">
        <v>16.0</v>
      </c>
      <c r="R178" s="12">
        <v>11.0</v>
      </c>
      <c r="S178" s="12">
        <v>4.0</v>
      </c>
      <c r="T178" s="12">
        <v>0.0</v>
      </c>
      <c r="U178" s="12">
        <v>63.0</v>
      </c>
      <c r="V178" s="12">
        <v>45.0</v>
      </c>
      <c r="W178" s="12">
        <v>34.0</v>
      </c>
      <c r="X178" s="12">
        <v>24.0</v>
      </c>
      <c r="Y178" s="12">
        <v>93.0</v>
      </c>
      <c r="Z178" s="12">
        <v>4.0</v>
      </c>
      <c r="AA178" s="12">
        <v>10.0</v>
      </c>
      <c r="AB178" s="12" t="s">
        <v>35</v>
      </c>
    </row>
    <row r="179">
      <c r="A179" s="14"/>
      <c r="B179" s="15" t="s">
        <v>99</v>
      </c>
      <c r="C179" s="12" t="s">
        <v>100</v>
      </c>
      <c r="D179" s="684">
        <f t="shared" si="50"/>
        <v>4.14</v>
      </c>
      <c r="E179" s="608">
        <v>5.91</v>
      </c>
      <c r="F179" s="685">
        <f t="shared" si="51"/>
        <v>-1.77</v>
      </c>
      <c r="G179" s="80">
        <f t="shared" si="52"/>
        <v>7.86</v>
      </c>
      <c r="H179" s="686">
        <v>1.56</v>
      </c>
      <c r="I179" s="687">
        <v>10.07</v>
      </c>
      <c r="J179" s="359">
        <f t="shared" si="53"/>
        <v>2.1</v>
      </c>
      <c r="K179" s="360">
        <f t="shared" si="54"/>
        <v>4.81</v>
      </c>
      <c r="L179" s="328">
        <f t="shared" si="55"/>
        <v>0.8</v>
      </c>
      <c r="M179" s="337">
        <f t="shared" si="56"/>
        <v>8.62</v>
      </c>
      <c r="N179" s="230">
        <v>56.1</v>
      </c>
      <c r="O179" s="12">
        <v>2.0</v>
      </c>
      <c r="P179" s="12">
        <v>15.0</v>
      </c>
      <c r="Q179" s="12">
        <v>14.0</v>
      </c>
      <c r="R179" s="12">
        <v>3.0</v>
      </c>
      <c r="S179" s="12">
        <v>6.0</v>
      </c>
      <c r="T179" s="12">
        <v>0.0</v>
      </c>
      <c r="U179" s="12">
        <v>58.0</v>
      </c>
      <c r="V179" s="12">
        <v>49.0</v>
      </c>
      <c r="W179" s="12">
        <v>37.0</v>
      </c>
      <c r="X179" s="12">
        <v>30.0</v>
      </c>
      <c r="Y179" s="12">
        <v>63.0</v>
      </c>
      <c r="Z179" s="12">
        <v>5.0</v>
      </c>
      <c r="AA179" s="12">
        <v>8.0</v>
      </c>
      <c r="AB179" s="12" t="s">
        <v>35</v>
      </c>
    </row>
    <row r="180">
      <c r="A180" s="14"/>
      <c r="B180" s="15" t="s">
        <v>50</v>
      </c>
      <c r="C180" s="12" t="s">
        <v>51</v>
      </c>
      <c r="D180" s="74">
        <f t="shared" si="50"/>
        <v>3.39</v>
      </c>
      <c r="E180" s="99">
        <v>4.17</v>
      </c>
      <c r="F180" s="100">
        <f t="shared" si="51"/>
        <v>-0.78</v>
      </c>
      <c r="G180" s="101">
        <f t="shared" si="52"/>
        <v>4.8</v>
      </c>
      <c r="H180" s="688">
        <v>1.32</v>
      </c>
      <c r="I180" s="689">
        <v>9.87</v>
      </c>
      <c r="J180" s="104">
        <f t="shared" si="53"/>
        <v>3.37</v>
      </c>
      <c r="K180" s="34">
        <f t="shared" si="54"/>
        <v>2.94</v>
      </c>
      <c r="L180" s="105">
        <f t="shared" si="55"/>
        <v>0.62</v>
      </c>
      <c r="M180" s="87">
        <f t="shared" si="56"/>
        <v>6.9</v>
      </c>
      <c r="N180" s="106">
        <v>58.1</v>
      </c>
      <c r="O180" s="12">
        <v>0.0</v>
      </c>
      <c r="P180" s="12">
        <v>14.0</v>
      </c>
      <c r="Q180" s="12">
        <v>12.0</v>
      </c>
      <c r="R180" s="12">
        <v>3.0</v>
      </c>
      <c r="S180" s="12">
        <v>2.0</v>
      </c>
      <c r="T180" s="12">
        <v>1.0</v>
      </c>
      <c r="U180" s="12">
        <v>58.0</v>
      </c>
      <c r="V180" s="12">
        <v>31.0</v>
      </c>
      <c r="W180" s="12">
        <v>27.0</v>
      </c>
      <c r="X180" s="12">
        <v>19.0</v>
      </c>
      <c r="Y180" s="12">
        <v>64.0</v>
      </c>
      <c r="Z180" s="12">
        <v>4.0</v>
      </c>
      <c r="AA180" s="12">
        <v>10.0</v>
      </c>
      <c r="AB180" s="12" t="s">
        <v>35</v>
      </c>
    </row>
    <row r="181">
      <c r="A181" s="14"/>
      <c r="B181" s="15" t="s">
        <v>89</v>
      </c>
      <c r="C181" s="12" t="s">
        <v>90</v>
      </c>
      <c r="D181" s="574">
        <f t="shared" si="50"/>
        <v>4.06</v>
      </c>
      <c r="E181" s="113">
        <v>7.14</v>
      </c>
      <c r="F181" s="575">
        <f t="shared" si="51"/>
        <v>-3.08</v>
      </c>
      <c r="G181" s="113">
        <f t="shared" si="52"/>
        <v>8.86</v>
      </c>
      <c r="H181" s="628">
        <v>1.73</v>
      </c>
      <c r="I181" s="690">
        <v>9.71</v>
      </c>
      <c r="J181" s="292">
        <f t="shared" si="53"/>
        <v>2.27</v>
      </c>
      <c r="K181" s="293">
        <f t="shared" si="54"/>
        <v>4.29</v>
      </c>
      <c r="L181" s="194">
        <f t="shared" si="55"/>
        <v>0.57</v>
      </c>
      <c r="M181" s="294">
        <f t="shared" si="56"/>
        <v>5.06</v>
      </c>
      <c r="N181" s="295">
        <v>63.0</v>
      </c>
      <c r="O181" s="12">
        <v>1.0</v>
      </c>
      <c r="P181" s="12">
        <v>17.0</v>
      </c>
      <c r="Q181" s="12">
        <v>4.0</v>
      </c>
      <c r="R181" s="12">
        <v>7.0</v>
      </c>
      <c r="S181" s="12">
        <v>4.0</v>
      </c>
      <c r="T181" s="12">
        <v>0.0</v>
      </c>
      <c r="U181" s="12">
        <v>79.0</v>
      </c>
      <c r="V181" s="12">
        <v>62.0</v>
      </c>
      <c r="W181" s="12">
        <v>50.0</v>
      </c>
      <c r="X181" s="12">
        <v>30.0</v>
      </c>
      <c r="Y181" s="12">
        <v>68.0</v>
      </c>
      <c r="Z181" s="12">
        <v>4.0</v>
      </c>
      <c r="AA181" s="12">
        <v>16.0</v>
      </c>
      <c r="AB181" s="12" t="s">
        <v>35</v>
      </c>
    </row>
    <row r="182">
      <c r="A182" s="14"/>
      <c r="B182" s="15" t="s">
        <v>69</v>
      </c>
      <c r="C182" s="12" t="s">
        <v>70</v>
      </c>
      <c r="D182" s="44">
        <f t="shared" si="50"/>
        <v>3.51</v>
      </c>
      <c r="E182" s="504">
        <v>5.48</v>
      </c>
      <c r="F182" s="570">
        <f t="shared" si="51"/>
        <v>-1.97</v>
      </c>
      <c r="G182" s="345">
        <f t="shared" si="52"/>
        <v>6.61</v>
      </c>
      <c r="H182" s="691">
        <v>1.47</v>
      </c>
      <c r="I182" s="692">
        <v>9.28</v>
      </c>
      <c r="J182" s="192">
        <f t="shared" si="53"/>
        <v>3.47</v>
      </c>
      <c r="K182" s="259">
        <f t="shared" si="54"/>
        <v>2.67</v>
      </c>
      <c r="L182" s="114">
        <f t="shared" si="55"/>
        <v>0.7</v>
      </c>
      <c r="M182" s="339">
        <f t="shared" si="56"/>
        <v>6.67</v>
      </c>
      <c r="N182" s="116">
        <v>64.0</v>
      </c>
      <c r="O182" s="12">
        <v>2.0</v>
      </c>
      <c r="P182" s="12">
        <v>16.0</v>
      </c>
      <c r="Q182" s="12">
        <v>6.0</v>
      </c>
      <c r="R182" s="12">
        <v>4.0</v>
      </c>
      <c r="S182" s="12">
        <v>5.0</v>
      </c>
      <c r="T182" s="12">
        <v>2.0</v>
      </c>
      <c r="U182" s="12">
        <v>75.0</v>
      </c>
      <c r="V182" s="12">
        <v>47.0</v>
      </c>
      <c r="W182" s="12">
        <v>39.0</v>
      </c>
      <c r="X182" s="12">
        <v>19.0</v>
      </c>
      <c r="Y182" s="12">
        <v>66.0</v>
      </c>
      <c r="Z182" s="12">
        <v>5.0</v>
      </c>
      <c r="AA182" s="12">
        <v>10.0</v>
      </c>
      <c r="AB182" s="12" t="s">
        <v>35</v>
      </c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</sheetData>
  <drawing r:id="rId1"/>
</worksheet>
</file>